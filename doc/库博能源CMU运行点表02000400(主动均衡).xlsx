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4VJnLapQkU2i7yBQGJyx4v6SjDvpgYcCaPZX2YNBX+d5RsxF6qU0yDPTKX0Dafd2QKp5947FD8SJwZ/L58ErIQ==" workbookSaltValue="pqulgls00UgVubR7UUxPEw==" workbookSpinCount="100000" lockStructure="1"/>
  <bookViews>
    <workbookView windowWidth="28800" windowHeight="12540"/>
  </bookViews>
  <sheets>
    <sheet name="点表" sheetId="1" r:id="rId1"/>
    <sheet name="CMU SOE" sheetId="3" r:id="rId2"/>
    <sheet name="变更记录" sheetId="2" r:id="rId3"/>
  </sheets>
  <calcPr calcId="144525"/>
</workbook>
</file>

<file path=xl/sharedStrings.xml><?xml version="1.0" encoding="utf-8"?>
<sst xmlns="http://schemas.openxmlformats.org/spreadsheetml/2006/main" count="2115" uniqueCount="671">
  <si>
    <t>CMU-V2与网关通讯数据点表</t>
  </si>
  <si>
    <t>参数</t>
  </si>
  <si>
    <t>每个BMU的单体电压数量</t>
  </si>
  <si>
    <t>BMU数量</t>
  </si>
  <si>
    <t>电池包模组温度个数</t>
  </si>
  <si>
    <t>极柱温度个数</t>
  </si>
  <si>
    <t>4字节顺序：小端格式,低寄存器地址数据在前</t>
  </si>
  <si>
    <t>序号</t>
  </si>
  <si>
    <t>含义</t>
  </si>
  <si>
    <t>功能码</t>
  </si>
  <si>
    <t>地址</t>
  </si>
  <si>
    <t>字节数</t>
  </si>
  <si>
    <t>格式</t>
  </si>
  <si>
    <t>推荐范围及单位</t>
  </si>
  <si>
    <t>读写</t>
  </si>
  <si>
    <t>引至设备</t>
  </si>
  <si>
    <t>备注</t>
  </si>
  <si>
    <t>nCMU 16位操作-内部寄存器:读多个寄存器(03)</t>
  </si>
  <si>
    <t>系统时间和状态</t>
  </si>
  <si>
    <t>系统时间</t>
  </si>
  <si>
    <t>0x03</t>
  </si>
  <si>
    <t>无符号整数</t>
  </si>
  <si>
    <t>单位:秒，小端格式(Little-endian byte swap)</t>
  </si>
  <si>
    <t>只读</t>
  </si>
  <si>
    <t>nCMU</t>
  </si>
  <si>
    <t>0x01</t>
  </si>
  <si>
    <t>nBC系统状态寄存器1</t>
  </si>
  <si>
    <t>Bit0: 系统总故障，0正常，1故障
Bit1：系统总报警，0正常，1报警
Bit2: 充满，0未充满，1充满
Bit3: 放空，0未放空，1放空
Bit4: 系统初始化，0已初始化，1未初始化
Bit5：CAN通讯，0正常,1离线
Bit6: 均衡，0非均衡状态，1均衡状态
Bit7：充电，0非充电状态，1充电状态
Bit8：放电，0非放电状态，1放电状态
Bit9：停机，0非停机状态，1停机状态
Bit10: 升级标志，0正常运行，1正在升级
Bit11: 绝缘检测板通讯，0正常,1离线
Bit12: 自检状态，0:正常，1故障(预留)
Bit13: nBMU拨码异常，0:正常，1异常(预留)
Bit14: nBMU故障，0:正常，1故障(预留)
Bit15: 并网状态，0:离网，1:并网(预留)</t>
  </si>
  <si>
    <t>nBC系统状态寄存器2</t>
  </si>
  <si>
    <t>Bit0: IO控制闭锁状态(预留)，0:闭锁(不允许操作)，1:未闭锁
Bit1-Bit15:备用</t>
  </si>
  <si>
    <t>nBC保护状态位1</t>
  </si>
  <si>
    <t>Bit0：nBC电池单体过压保护，1为动作，0为复归；
Bit1：nBC电池单体欠压保护，1为动作，0为复归；
Bit2：nBC电池单体高温保护，1为动作，0为复归；
Bit3：nBC电池单体低温保护，1为动作，0为复归；
Bit4：nBC电池单体温升保护，1为动作，0为复归(预留)；
Bit5：nBC电池单体温差保护，1为动作，0为复归(预留)；
Bit6：nBC电池包极柱高温保护，1为动作，0为复归；
Bit7：nBC充放电流过负荷保护，1为动作，0为复归；
Bit8：nBC短路电流保护，1为动作，0为复归；
Bit9：nBC电池簇过压保护，1为动作，0为复归；
Bit10：nBC电池簇欠压保护，1为动作，0为复归；
Bit11：nBC母线绝缘保护，1动作，0复归；
Bit12：nBC母线漏电流保护，1动作，0复归；
Bit13: 簇极柱高温保护，1为动作，0为复归；
Bit14：过放(SOC过低)保护，1为动作，0为复归(预留)；
Bit15：单体压差过大保护，1为动作，0为复归(预留)；</t>
  </si>
  <si>
    <t>nBC保护状态位2</t>
  </si>
  <si>
    <t>Bit0：烟感保护，1为动作，0为复归；
Bit1：水浸保护，1为动作，0为复归；
Bit2：消防保护，1为动作，0为复归；
Bit3：急停保护，1为动作，0为复归；
Bit4-Bit15: 保留</t>
  </si>
  <si>
    <t>nBC报警状态位1</t>
  </si>
  <si>
    <t>Bit0：nBC电池单体过压告警，1为告警，0为正常；
Bit1：nBC电池单体欠压告警，1为告警，0为正常；
Bit2：nBC电池单体高温告警，1为告警，0为正常；
Bit3：nBC电池单体低温告警，1为告警，0为正常；
Bit4：nBC电池单体瞬时温升告警，1为告警，0为正常(预留)；
Bit5：nBC电池单体温差过大告警，1为告警，0为正常(预留)；
Bit6：nBC电池包极柱高温告警，1为告警，0为正常；
Bit7：nBC充放电电流过负荷告警，1为告警，0为正常；
Bit8：nBMU故障告警，1为告警，0位正常；
Bit9：nBC电池簇过压告警，1为告警，0为正常；
Bit10：nBC电池簇欠压告警，1为告警，0为正常；
Bit11：nBC母线绝缘告警，1为告警，0为正常(预留)；
Bit12：漏电流告警，1为告警，0为正常(预留)；
Bit13：簇极柱高温告警，1为告警，0为正常
Bit14：过放(SOC过低)告警，1为告警，0为正常(预留)；
Bit15：单体压差过大告警，1为告警，0为正常(预留)；</t>
  </si>
  <si>
    <t>nBC报警状态位2</t>
  </si>
  <si>
    <t>Bit0：nBMU拨码异常告警，1为告警，0为正常(预留)；
Bit1：电池包电压采集线束断线告警，1为告警，0为正常；
Bit2：电池包温度采集线束断线告警，1为告警，0为正常；
Bit3：簇极柱温度采集线束断线告警，1为告警，0为正常；
Bit4：电压传感器断线告警，1为告警，0为正常(预留)；
Bit5：预留传感器断线告警，1为告警，0为正常(预留)；
Bit6: 断路器拒动告警，1为告警，0为正常；
Bit7: 接触器拒动告警，1为告警，0为正常；
Bit8：簇间压差过大告警,1为告警，0为正常(预留)；
Bit9-Bit15: 保留</t>
  </si>
  <si>
    <t>nBMU通讯状态1</t>
  </si>
  <si>
    <t>Bit0：nBMU1通讯状态，1为在线，0为离线；
… … … … 
Bit31：nBMU32通讯状态，1为在线，0为离线；</t>
  </si>
  <si>
    <t>nBMU通讯状态2</t>
  </si>
  <si>
    <t>Bit0：nBMU33通讯状态，1为在线，0为离线；
…
Bit27：nBMU60通讯状态，1为在线，0为离线；
Bit28-Bit31：保留</t>
  </si>
  <si>
    <t>nBC 簇极柱温度断线状态</t>
  </si>
  <si>
    <t>Bit0：nBP1 1#簇极柱温度采集线束断线，0正常，1断线；
Bit1：nBP1 2#簇极柱温度采集线束断线，0正常，1断线；
Bit2：nBP1 3#簇极柱温度采集线束断线，0正常，1断线；
Bit3：nBP1 4#簇极柱温度采集线束断线，0正常，1断线；
Bit4：nBP1 5#簇极柱温度采集线束断线，0正常，1断线；
其它：预留</t>
  </si>
  <si>
    <t>nBC DO状态</t>
  </si>
  <si>
    <t>bit0: QF直流断路器控制输出状态
bit1: KM+正直流接触器控制输出状态
bit2: KM-负直流接触器控制输出状态
bit3: KMR预充电阻投切接触器控制输出状态
bit4: 簇电池故障干接点输出状态
bit5: 充电指示继电器输出状态
bit6: 放电指示继电器输出状态
bit7: 系统运行指示继电器输出状态
bit8: BMU供电NMOS控制输出状态(预留)
bit9: 簇电池告警干接点输出状态
bit10: 风扇控制继电器输出状态
bit11: 预留继电器1输出状态
bit12: 预留继电器2(充满干接点)
bit13: 预留继电器3(放空干接点)
bit14: 预留继电器4(电操合闸控制输出)
bit15: 预留继电器5(电操分闸控制输出)</t>
  </si>
  <si>
    <t>nBC DI状态</t>
  </si>
  <si>
    <t>bit0: 断路器QF状态
bit1: 接触器KMP状态
bit2: 接触器KMN状态
bit3: 接触器KMR状态
bit4: CCU告警输入(烟感输人)
bit5: M/S 主/从选择输入
bit6: 预留DIN1(水浸输入)
bit7: 预留DIN2(消防输入)
bit8: 预留DIN3(急停输入)
bit9-bit15:预留</t>
  </si>
  <si>
    <t>当前充电均衡通道数</t>
  </si>
  <si>
    <t>0-255</t>
  </si>
  <si>
    <t>当前放电均衡通道数</t>
  </si>
  <si>
    <t>nBMU电压断线状态------BMU数量:(m)</t>
  </si>
  <si>
    <t>nBP1 电压采集线束断线状态</t>
  </si>
  <si>
    <t>无符号数</t>
  </si>
  <si>
    <t>Bit0：nBP1 B1+电压采集线束断线，0正常，1断线；
Bit1：nBP1 B2+电压采集线束断线，0正常，1断线；
Bit2：nBP1 B3+电压采集线束断线，0正常，1断线；
Bit3：nBP1 B4+电压采集线束断线，0正常，1断线；
Bit4：nBP1 B5+电压采集线束断线，0正常，1断线；
Bit5：nBP1 B6+电压采集线束断线，0正常，1断线；
Bit6：nBP1 B7+电压采集线束断线，0正常，1断线；
Bit7：nBP1 B8+电压采集线束断线，0正常，1断线；
Bit8：nBP1 B9+电压采集线束断线，0正常，1断线；
Bit9：nBP1 B10+电压采集线束断线，0正常，1断线；
Bit10：nBP1 B11+电压采集线束断线，0正常，1断线；
Bit11：nBP1 B12+电压采集线束断线，0正常，1断线；
Bit12：nBP1 B13+电压采集线束断线，0正常，1断线(预留)；
Bit13：nBP1 B14+电压采集线束断线，0正常，1断线(预留)；
Bit14：nBP1 B15+电压采集线束断线，0正常，1断线(预留)；
Bit15：nBP1 B16+电压采集线束断线，0正常，1断线(预留)；</t>
  </si>
  <si>
    <t>0x100</t>
  </si>
  <si>
    <t>nBP2 电压采集线束断线状态</t>
  </si>
  <si>
    <t>同上</t>
  </si>
  <si>
    <t>…</t>
  </si>
  <si>
    <t>nBP(m-1) 电压采集线束断线状态</t>
  </si>
  <si>
    <t>nBP(m) 电压采集线束断线状态</t>
  </si>
  <si>
    <t>nBMU温度断线状态------BMU数量:(m)</t>
  </si>
  <si>
    <t>nBP1 温度采集线束断线状态</t>
  </si>
  <si>
    <t>Bit0：nBP1 1#模组温度采集线束断线，0正常，1断线；
Bit1：nBP1 2#模组温度采集线束断线，0正常，1断线；
Bit2：nBP1 3#模组温度采集线束断线，0正常，1断线；
Bit3：nBP1 4#模组温度采集线束断线，0正常，1断线；
Bit4：nBP1 正极柱温度采集线束断线，0正常，1断线；
Bit5：nBP1 负极柱温度采集线束断线，0正常，1断线；
其它位预留</t>
  </si>
  <si>
    <t>nBP2 温度采集线束断线状态</t>
  </si>
  <si>
    <t>nBP(m-1) 温度采集线束断线状态</t>
  </si>
  <si>
    <t>nBP(m) 温度采集线束断线状态</t>
  </si>
  <si>
    <t>nBMU运行状态------BMU数量:(m)</t>
  </si>
  <si>
    <t>nBP1 BMU运行状态</t>
  </si>
  <si>
    <t>Bit0：拨码开关异常告警，0：正常，1：告警；
Bit1：CAN通信地址锁定状态，0：正常，1：锁定；
其它：保留</t>
  </si>
  <si>
    <t>nBP2 BMU运行状态</t>
  </si>
  <si>
    <t>nBP(m-1) BMU运行状态</t>
  </si>
  <si>
    <r>
      <rPr>
        <sz val="10"/>
        <color theme="1"/>
        <rFont val="宋体"/>
        <charset val="134"/>
        <scheme val="minor"/>
      </rPr>
      <t>nBP(m) BMU运行状态</t>
    </r>
  </si>
  <si>
    <t>nBMU故障状态/统计------BMU数量:(m)</t>
  </si>
  <si>
    <t>nBP1 BMU故障状态</t>
  </si>
  <si>
    <t>Bit0-Bit6：保留；
Bit7：采样芯片故障2，0：正常，1：故障；
Bit8：采样芯片故障1，0：正常，1：故障；
Bit9-Bit12：保留；
Bit13：断线故障，0：正常，1：故障；
Bit14：单体过压，0：正常，1：故障；
Bit15：单体欠压，0：正常，1：故障；</t>
  </si>
  <si>
    <t>nBP2 BMU故障状态</t>
  </si>
  <si>
    <t>nBP(m-1) BMU故障状态</t>
  </si>
  <si>
    <r>
      <rPr>
        <sz val="10"/>
        <rFont val="宋体"/>
        <charset val="134"/>
        <scheme val="minor"/>
      </rPr>
      <t>nBP(m) BMU故障状态</t>
    </r>
  </si>
  <si>
    <t>系统能量参数</t>
  </si>
  <si>
    <t>nBC SOC</t>
  </si>
  <si>
    <t>百分比，精度:0.1%</t>
  </si>
  <si>
    <t>0x400</t>
  </si>
  <si>
    <t>nBC SOH</t>
  </si>
  <si>
    <t>nBC 直流功率</t>
  </si>
  <si>
    <t>有符号整数</t>
  </si>
  <si>
    <t>单位：0.1kW</t>
  </si>
  <si>
    <t>nBC 当前剩余电量</t>
  </si>
  <si>
    <t>单位：0.1kW，小端格式(Little-endian byte swap)</t>
  </si>
  <si>
    <t>nBC 累计充电量</t>
  </si>
  <si>
    <t>nBC 累计放电量</t>
  </si>
  <si>
    <t>nBC 当前充电电量</t>
  </si>
  <si>
    <t>nBC 当前放电电量</t>
  </si>
  <si>
    <t>nBC 当前剩余库伦</t>
  </si>
  <si>
    <t>单位：0.1Ah，小端格式(Little-endian byte swap)</t>
  </si>
  <si>
    <t>nBC 当前输入库伦</t>
  </si>
  <si>
    <t>nBC 当前输出库伦</t>
  </si>
  <si>
    <t>nBC 累计输入库伦</t>
  </si>
  <si>
    <t>nBC 累计输出库伦</t>
  </si>
  <si>
    <t>nBC 累计充电时间</t>
  </si>
  <si>
    <t>单位：秒，小端格式(Little-endian byte swap)</t>
  </si>
  <si>
    <t>nBC 累计放电时间</t>
  </si>
  <si>
    <t>nBC 当前充电时间</t>
  </si>
  <si>
    <t>nBC 当前放电时间</t>
  </si>
  <si>
    <t>nBC 累计充电次数</t>
  </si>
  <si>
    <t>单位:次，小端格式(Little-endian byte swap)</t>
  </si>
  <si>
    <t>nBC 累计放电次数</t>
  </si>
  <si>
    <t>nBC 充电开始时间</t>
  </si>
  <si>
    <t>Linux秒，小端格式(Little-endian byte swap)</t>
  </si>
  <si>
    <t>nBC 充电停止时间</t>
  </si>
  <si>
    <t>nBC 放电开始时间</t>
  </si>
  <si>
    <t>nBC 放电停止时间</t>
  </si>
  <si>
    <t>版本信息------BMU数量:(m)</t>
  </si>
  <si>
    <t>nINS 绝缘检测板软件版本号</t>
  </si>
  <si>
    <t>Hex格式：XX.XX.XX.XX，小端格式(Little-endian byte swap)</t>
  </si>
  <si>
    <t>0x4FA</t>
  </si>
  <si>
    <t>nCMU Modbus协议版本号</t>
  </si>
  <si>
    <t>nCMU Boot软件版本号</t>
  </si>
  <si>
    <t>nCMU App软件版本号</t>
  </si>
  <si>
    <t>0x500</t>
  </si>
  <si>
    <t>nBP1 BMU软件版本号</t>
  </si>
  <si>
    <r>
      <rPr>
        <sz val="10"/>
        <color theme="1"/>
        <rFont val="宋体"/>
        <charset val="134"/>
        <scheme val="minor"/>
      </rPr>
      <t>nBP2 BMU软件版本号</t>
    </r>
  </si>
  <si>
    <r>
      <rPr>
        <sz val="10"/>
        <color theme="1"/>
        <rFont val="宋体"/>
        <charset val="134"/>
        <scheme val="minor"/>
      </rPr>
      <t>nBP(m-1) BMU软件版本号</t>
    </r>
  </si>
  <si>
    <r>
      <rPr>
        <sz val="10"/>
        <color theme="1"/>
        <rFont val="宋体"/>
        <charset val="134"/>
        <scheme val="minor"/>
      </rPr>
      <t>nBP(m) BMU软件版本号</t>
    </r>
  </si>
  <si>
    <t>BMU均衡信息------BMU数量:(m)</t>
  </si>
  <si>
    <t>nBP1均衡状态</t>
  </si>
  <si>
    <t>均衡状态,Bit0-Bit15：1，开启；0，关闭</t>
  </si>
  <si>
    <t>0x900</t>
  </si>
  <si>
    <t>nBP1通道故障(闭锁)状态</t>
  </si>
  <si>
    <t>故障(闭锁)状态,Bit0-Bit15：1，故障/闭锁；0，正常</t>
  </si>
  <si>
    <t>nBP1母线24V电压</t>
  </si>
  <si>
    <t>mV</t>
  </si>
  <si>
    <t>nBP1均衡模式/电流</t>
  </si>
  <si>
    <t>(高8bit:当前均衡模式;低8bit:当前均衡电流int8,0.1A)</t>
  </si>
  <si>
    <t>nBP(m)均衡状态</t>
  </si>
  <si>
    <t>nBP(m)通道故障(闭锁)状态</t>
  </si>
  <si>
    <t>nBP(m)母线24V电压</t>
  </si>
  <si>
    <t>nBP(m)均衡模式/电流</t>
  </si>
  <si>
    <t>BMU统计信息------BMU数量:(m);电池包单体个数:(n)</t>
  </si>
  <si>
    <t>nBP1通信丢帧计数(CAN)</t>
  </si>
  <si>
    <t>CAN通信丢帧计数(帧数)</t>
  </si>
  <si>
    <t>0xA00</t>
  </si>
  <si>
    <t>nBP(m)通信丢帧计数(CAN)</t>
  </si>
  <si>
    <t>BP1 B1充电均衡Ah</t>
  </si>
  <si>
    <t>BP1 B1充电均衡Ah，1Ah</t>
  </si>
  <si>
    <t>BP1 B1放电均衡Ah</t>
  </si>
  <si>
    <t>BP1 B1放电均衡Ah，1Ah</t>
  </si>
  <si>
    <t>BP1 Bn充电均衡Ah</t>
  </si>
  <si>
    <t>BP1 Bn充电均衡Ah，1Ah</t>
  </si>
  <si>
    <t>BP1 Bn放电均衡Ah</t>
  </si>
  <si>
    <t>BP1 Bn放电均衡Ah，1Ah</t>
  </si>
  <si>
    <t>BPm B1充电均衡Ah</t>
  </si>
  <si>
    <t>BPm B1充电均衡Ah，1Ah</t>
  </si>
  <si>
    <t>BPm B1放电均衡Ah</t>
  </si>
  <si>
    <t>BPm B1放电均衡Ah，1Ah</t>
  </si>
  <si>
    <t>BPm Bn充电均衡Ah</t>
  </si>
  <si>
    <t>BPm Bn充电均衡Ah，1Ah</t>
  </si>
  <si>
    <t>BPm Bn放电均衡Ah</t>
  </si>
  <si>
    <t>BPm Bn放电均衡Ah，1Ah</t>
  </si>
  <si>
    <t>SOC-V表</t>
  </si>
  <si>
    <t>系统SOC-V表</t>
  </si>
  <si>
    <t>102*2</t>
  </si>
  <si>
    <t>保留</t>
  </si>
  <si>
    <t>读/写</t>
  </si>
  <si>
    <t>0x1000</t>
  </si>
  <si>
    <t>事件信息</t>
  </si>
  <si>
    <t>nCMU 新事件条数</t>
  </si>
  <si>
    <t>CMU 新事件条数(从上电/清除事件时刻开始计)</t>
  </si>
  <si>
    <t>0x2000</t>
  </si>
  <si>
    <t>nCMU 铁电中的事件条数:(m)</t>
  </si>
  <si>
    <t>铁电中的事件条数:(m)</t>
  </si>
  <si>
    <t>nCMU 事件</t>
  </si>
  <si>
    <t>m*16</t>
  </si>
  <si>
    <t>见SOE</t>
  </si>
  <si>
    <t>每条事件8个寄存器，单次最大读取15条(240字节)，详见SOE表</t>
  </si>
  <si>
    <t>配置参数</t>
  </si>
  <si>
    <t>nBC 预充结束时间定值</t>
  </si>
  <si>
    <t>1s，默认60s，范围1-300s</t>
  </si>
  <si>
    <t>nCMU(内部使用)</t>
  </si>
  <si>
    <t>0x14EE</t>
  </si>
  <si>
    <t>nBC 预充结束电流定值</t>
  </si>
  <si>
    <t>0.1A，默认10A，范围1-50A</t>
  </si>
  <si>
    <t>nBC 预留传感器量程</t>
  </si>
  <si>
    <t>0x14F0</t>
  </si>
  <si>
    <t>nBC 簇电池额定Ah数</t>
  </si>
  <si>
    <t>0.1Ah，默认120Ah，范围：0-600Ah</t>
  </si>
  <si>
    <t>nBC 簇电池充放电状态检测电流死区阈值</t>
  </si>
  <si>
    <t>0.1A，默认5A，范围：1-20A</t>
  </si>
  <si>
    <t>nBC 簇电池充满回差值</t>
  </si>
  <si>
    <t>0.1mV,默认200mV，范围：50-500mV</t>
  </si>
  <si>
    <t>nBC 簇电池放空回差值</t>
  </si>
  <si>
    <t>nBC 环控温度回差值</t>
  </si>
  <si>
    <t>0.1℃，默认5℃，范围：0-10℃</t>
  </si>
  <si>
    <t>0x14F5</t>
  </si>
  <si>
    <t>nBC 环控温度上限值</t>
  </si>
  <si>
    <t>0.1℃，默认35℃，范围：25-50℃</t>
  </si>
  <si>
    <t>nBC 环控温度下限值</t>
  </si>
  <si>
    <t>0.1℃，默认10℃，范围：0-25℃</t>
  </si>
  <si>
    <t>nBC 簇电池过放(SOC)下限告警值</t>
  </si>
  <si>
    <t>0.1%，默认10%，范围：5%-20%</t>
  </si>
  <si>
    <t>nBC 簇电池过放(SOC)下下限保护值</t>
  </si>
  <si>
    <t>0.1%，默认2%，范围：0%-10%</t>
  </si>
  <si>
    <t>nBC 簇极柱温度越上限告警值</t>
  </si>
  <si>
    <t>0.1℃，默认50℃，范围：25-55℃</t>
  </si>
  <si>
    <t>nBC 簇极柱温度越上上限保护值</t>
  </si>
  <si>
    <t>0.1℃，默认60℃，范围：55-75℃</t>
  </si>
  <si>
    <t>nBC 簇电池绝缘电阻告警值</t>
  </si>
  <si>
    <t>1K，默认50K，范围20-100KΩ</t>
  </si>
  <si>
    <t>nBC 簇电池漏电流告警值</t>
  </si>
  <si>
    <t>0.1mA，默认5mA，范围0-20mA</t>
  </si>
  <si>
    <t>nBC 单体电池压差越上限告警值</t>
  </si>
  <si>
    <t>0.0001V，默认0.1V，范围：0V-0.2V</t>
  </si>
  <si>
    <t>nBC 单体电池压差越上上限保护值</t>
  </si>
  <si>
    <t>0.0001V，默认0.2V，范围：0.1V-0.4V</t>
  </si>
  <si>
    <t>nBC 单体电池电压越上限告警值</t>
  </si>
  <si>
    <t>0.0001V，默认3.55V，范围：3.00-4.20V</t>
  </si>
  <si>
    <t>0x1500</t>
  </si>
  <si>
    <t>nBC 单体电池电压越上上限保护值</t>
  </si>
  <si>
    <t>0.0001V，默认3.65V，范围：3.30-4.20V</t>
  </si>
  <si>
    <t>nBC 单体电池电压越下限告警值</t>
  </si>
  <si>
    <t>0.0001V，默认2.8V，范围：1.80-3.30V</t>
  </si>
  <si>
    <t>nBC 单体电池电压越下下限保护值</t>
  </si>
  <si>
    <t>0.0001V，默认2.6V，范围：1.80-3.00V</t>
  </si>
  <si>
    <t>nBC 单体电池温度越上限告警值</t>
  </si>
  <si>
    <t>0.1℃，默认45℃，范围：20-70℃</t>
  </si>
  <si>
    <t>nBC 单体电池温度越上上限保护值</t>
  </si>
  <si>
    <t>0.1℃，默认55℃，范围：55-70℃</t>
  </si>
  <si>
    <t>nBC 单体电池温度越下限告警值</t>
  </si>
  <si>
    <t>0.1℃，默认5℃，范围：-15-20℃</t>
  </si>
  <si>
    <t>nBC 单体电池温度越下下限保护值</t>
  </si>
  <si>
    <t>0.1℃，默认-5℃，范围：-15-0℃</t>
  </si>
  <si>
    <t>nBC 单体电池温差越上限告警值</t>
  </si>
  <si>
    <t>0.1℃，默认10℃，范围：3-20℃</t>
  </si>
  <si>
    <t>nBC 单体电池温差越上上限保护值</t>
  </si>
  <si>
    <t>0.1℃，默认14℃，范围：10-20℃</t>
  </si>
  <si>
    <t>nBC 单体电池温升越上限告警值</t>
  </si>
  <si>
    <t>0.1℃/Min，默认4℃/Min，范围：0-12℃</t>
  </si>
  <si>
    <t>nBC 单体电池温升越上上限保护值</t>
  </si>
  <si>
    <t>0.1℃/Min，默认6℃/Min，范围：8-12℃</t>
  </si>
  <si>
    <t>nBC Pack极柱温度越上限告警值</t>
  </si>
  <si>
    <t>0.1℃，默认50℃，范围：25-75℃</t>
  </si>
  <si>
    <t>nBC Pack极柱温度越上上限保护值</t>
  </si>
  <si>
    <t>0.1℃，默认60℃，范围：60-75℃</t>
  </si>
  <si>
    <t>nBC 充放电电流越上限过负荷告警值</t>
  </si>
  <si>
    <t>1%，默认充放电额定电流的105%，范围：0%-300%</t>
  </si>
  <si>
    <t>nBC 充放电电流越上上限过负荷保护值</t>
  </si>
  <si>
    <t>1%，默认充放电额定电流的110%，范围：0%-300%</t>
  </si>
  <si>
    <t>nBC 短路电流保护值</t>
  </si>
  <si>
    <t>nBC 簇电压越上限告警值</t>
  </si>
  <si>
    <t>0.1V，766.8V,默认范围:0-1000V</t>
  </si>
  <si>
    <t>nBC 簇电压越上上限保护值</t>
  </si>
  <si>
    <t>0.1V，788.4V,默认范围:0-1000V</t>
  </si>
  <si>
    <t>nBC 簇电压越下限告警值</t>
  </si>
  <si>
    <t>0.1V，604.8V,默认范围:0-1000V</t>
  </si>
  <si>
    <t>nBC 簇电压越下下限保护值</t>
  </si>
  <si>
    <t>0.1V，默认561.6V,范围:0-1000V</t>
  </si>
  <si>
    <t>nBC 簇电池绝缘电阻保护值</t>
  </si>
  <si>
    <t>1K，默认20K，范围0-50KΩ</t>
  </si>
  <si>
    <t>nBC 簇电池漏电流保护值</t>
  </si>
  <si>
    <t>0.1mA，默认10mA，范围0-50mA</t>
  </si>
  <si>
    <t>nBC 告警延时</t>
  </si>
  <si>
    <t>1秒，默认3S，范围：0-50S</t>
  </si>
  <si>
    <t>nBC 保护延时</t>
  </si>
  <si>
    <t>1秒，默认1S，范围：0-50S</t>
  </si>
  <si>
    <t>nBC 簇电池容量</t>
  </si>
  <si>
    <t>0.1kWh,默认155kWh</t>
  </si>
  <si>
    <t>nBC 簇电池校正容量</t>
  </si>
  <si>
    <t>0.1kWh，默认155kWh，范围：0-155kWh</t>
  </si>
  <si>
    <t>nBC 簇电池剩余电量</t>
  </si>
  <si>
    <t>0.1kWh，范围：0-155kWh</t>
  </si>
  <si>
    <t>nBC 充放电额定电流</t>
  </si>
  <si>
    <t>0.1A，默认120A，范围：0-600A</t>
  </si>
  <si>
    <t>nBC 电流传感器量程</t>
  </si>
  <si>
    <t>1A,默认300A,范围：0-600A</t>
  </si>
  <si>
    <t>nBC 漏电流传感器量程</t>
  </si>
  <si>
    <t>1mA，默认10mA，范围10-100mA</t>
  </si>
  <si>
    <t>nBC 电压传感器量程</t>
  </si>
  <si>
    <r>
      <rPr>
        <sz val="10"/>
        <color theme="1"/>
        <rFont val="宋体"/>
        <charset val="134"/>
        <scheme val="minor"/>
      </rPr>
      <t>1V，默认1000V，范围100</t>
    </r>
    <r>
      <rPr>
        <sz val="10"/>
        <color theme="1"/>
        <rFont val="Times New Roman"/>
        <charset val="134"/>
      </rPr>
      <t>~</t>
    </r>
    <r>
      <rPr>
        <sz val="10"/>
        <color theme="1"/>
        <rFont val="宋体"/>
        <charset val="134"/>
        <scheme val="minor"/>
      </rPr>
      <t>3000V</t>
    </r>
  </si>
  <si>
    <t>电池均衡控制模式</t>
  </si>
  <si>
    <t>0x00:禁止均衡;0x55:强制;0xAA:自动;0x88:手动</t>
  </si>
  <si>
    <t>均衡配置参数</t>
  </si>
  <si>
    <t>默认0x7214，通道对数(4bit)+电流大小A(4bit)+均衡时间s(8bit)</t>
  </si>
  <si>
    <t>均衡启动电压差值</t>
  </si>
  <si>
    <t>0.1mV，默认30mV，范围：5-500mV</t>
  </si>
  <si>
    <t>nBC 簇电池单元数量</t>
  </si>
  <si>
    <t>1个，默认18个，范围：1-60个</t>
  </si>
  <si>
    <t>BMU单体电池个数</t>
  </si>
  <si>
    <t>1个，默认12个，范围：1-16个</t>
  </si>
  <si>
    <t>BMU模组温度个数</t>
  </si>
  <si>
    <t>1个，默认4个，范围：1-12个</t>
  </si>
  <si>
    <t>BMU极柱温度个数</t>
  </si>
  <si>
    <t>1个，默认2个，范围：1-6个</t>
  </si>
  <si>
    <t>nBC报警屏蔽位</t>
  </si>
  <si>
    <t>默认为0，0：不屏蔽  1：屏蔽该位
Bit0：屏蔽电池包温度1断线；
Bit1：屏蔽电池包温度2断线；
......
Bit7：屏蔽电池包8温度断线；
Bit8：屏蔽极柱温度1断线；
…...
Bit11：屏蔽极柱温度4断线；
Bit12-Bit15：保留</t>
  </si>
  <si>
    <t>nBC故障屏蔽位</t>
  </si>
  <si>
    <t>bit0-bit15:保留</t>
  </si>
  <si>
    <t>CMU功能使能位1</t>
  </si>
  <si>
    <t>Bit0:使能双CAN模式，0：关闭；1：使能
Bit1:使能绝缘检测板电压采样，0：关闭；1：使能
Bit2:使能电压传感器，0：关闭；1：使能
Bit3:使能漏电传感器，0：关闭；1：使能
Bit4:使能绝缘检测，0：关闭；1：使能
Bit5:开启Modbus写保护，0：关闭；1：开启
Bit6:使能故障录播功能，0：关闭；1：使能
Bit7:关闭参数设置限制，0：开启设置限制；1：关闭设置限制
Bit8:开启本地环控，0：远程环控；1：本地环控
Bit9:关闭接触器远程控制，0：远程控制；1：关闭远程
Bit10:调试信息输出端口选择,0:串口,1:udp
Bit11:使能调试信息输出,0:关闭,1:开启
Bit12:单/多簇模式选择,0:单簇模式,1:多簇模式(预留)
Bit13:并列/解列模式,0:并列模式,1:解列模式
Bit14:禁用预充逻辑,0:开启,1:禁用
Bit15:禁用安防保护,0:开启,1:禁用</t>
  </si>
  <si>
    <t>IP地址低位</t>
  </si>
  <si>
    <t xml:space="preserve">默认 192.168 0xa8c0  </t>
  </si>
  <si>
    <t>IP地址高位</t>
  </si>
  <si>
    <t xml:space="preserve">默认 1.120 0x7801  </t>
  </si>
  <si>
    <t>NTP服务器地址低位</t>
  </si>
  <si>
    <t xml:space="preserve">默认 192.168 0xA8C0  </t>
  </si>
  <si>
    <t>NTP服务器地址高位</t>
  </si>
  <si>
    <t>默认 1.230 0xE601</t>
  </si>
  <si>
    <t>nBP数据屏蔽位1</t>
  </si>
  <si>
    <t>默认0x0000，屏蔽某个BMU的所有数据，0：不屏蔽，1：屏蔽
Bit0：屏蔽nBP0所有数据；
…
Bit15：屏蔽nBP15所有数据；</t>
  </si>
  <si>
    <t>nBP数据屏蔽位2</t>
  </si>
  <si>
    <t>Bit0：屏蔽nBP16所有数据；
…
Bit15：屏蔽nBP32所有数据；</t>
  </si>
  <si>
    <t>nBP数据屏蔽位3</t>
  </si>
  <si>
    <t>nBP数据屏蔽位4</t>
  </si>
  <si>
    <t>系统保护屏蔽寄存器1</t>
  </si>
  <si>
    <t>默认0x0000,屏蔽系统保护状态位相应的保护，0：不屏蔽，1：屏蔽
详见nBC保护状态位1</t>
  </si>
  <si>
    <t>系统保护屏蔽寄存器2</t>
  </si>
  <si>
    <t>默认0x0000,屏蔽系统保护状态位相应的保护，0：不屏蔽，1：屏蔽
详见nBC保护状态位2</t>
  </si>
  <si>
    <t>系统告警屏蔽寄存器1</t>
  </si>
  <si>
    <t>默认0x0000,屏蔽系统告警状态位相应的告警，0：不屏蔽，1：屏蔽
详见nBC告警状态位1</t>
  </si>
  <si>
    <t>系统告警屏蔽寄存器2</t>
  </si>
  <si>
    <t>默认0x0000,屏蔽系统告警状态位相应的告警，0：不屏蔽，1：屏蔽
详见nBC告警状态位2</t>
  </si>
  <si>
    <t>CMU功能使能位2</t>
  </si>
  <si>
    <t>Bit0:绝缘检测模式,0:离网时,1:全程
Bit1-Bit15：预留</t>
  </si>
  <si>
    <t>充满放空簇电压回差值</t>
  </si>
  <si>
    <t>0.1V，默认值20V,1V-80V</t>
  </si>
  <si>
    <t>单体电压数据屏蔽位</t>
  </si>
  <si>
    <t>bit0:1，屏蔽第1节单体数据；0，不屏蔽
bit1:1，屏蔽第2节单体数据；0，不屏蔽
……</t>
  </si>
  <si>
    <t>温度数据屏蔽位</t>
  </si>
  <si>
    <t>1，屏蔽数据；0，不屏蔽
bit0：屏蔽极柱1温度数据
……
bit3：屏蔽极柱4温度数据
bit4：屏蔽电池包温度1数据
……
bit11：屏蔽电池包温度8数据
bit12-bit15：保留</t>
  </si>
  <si>
    <t>nCMU 16位操作-模拟量输入:读输入寄存器(04)</t>
  </si>
  <si>
    <t>读取单体电压------BMU数量:(m);电池包单体个数:(n)</t>
  </si>
  <si>
    <t>BP1 B1电压</t>
  </si>
  <si>
    <t>0x04</t>
  </si>
  <si>
    <t>0.0001V</t>
  </si>
  <si>
    <t>BMU1</t>
  </si>
  <si>
    <t>BP1 B2电压</t>
  </si>
  <si>
    <t>BP1 B(n-1)电压</t>
  </si>
  <si>
    <t>BP1 B(n)电压</t>
  </si>
  <si>
    <t>BP2 B1电压</t>
  </si>
  <si>
    <t>BMU2</t>
  </si>
  <si>
    <t>BP2 B2电压</t>
  </si>
  <si>
    <t>BP2 B(n-1)电压</t>
  </si>
  <si>
    <r>
      <rPr>
        <sz val="10"/>
        <color theme="1"/>
        <rFont val="宋体"/>
        <charset val="134"/>
        <scheme val="minor"/>
      </rPr>
      <t>BMU2</t>
    </r>
  </si>
  <si>
    <t>BP2 B(n)电压</t>
  </si>
  <si>
    <t>……</t>
  </si>
  <si>
    <t>BP(m-1) B1电压</t>
  </si>
  <si>
    <t>BMU(m-1)</t>
  </si>
  <si>
    <t>BP(m-1) B2电压</t>
  </si>
  <si>
    <t>BP(m-1) B(n-1)电压</t>
  </si>
  <si>
    <t>BP(m-1) B(n)电压</t>
  </si>
  <si>
    <t>BP(m) B1电压</t>
  </si>
  <si>
    <t>BMU(m)</t>
  </si>
  <si>
    <t>BP(m) B2电压</t>
  </si>
  <si>
    <t>BP(m) B(n-1)电压</t>
  </si>
  <si>
    <t>BP(m) B(n)电压</t>
  </si>
  <si>
    <t>读取温度数据------BMU数量:(m);电池包模组温度个数:(n);电池包极柱温度个数:(x)</t>
  </si>
  <si>
    <t>BP1 1#模组温度</t>
  </si>
  <si>
    <t>0.1℃</t>
  </si>
  <si>
    <t>BP1 2#模组温度</t>
  </si>
  <si>
    <t>BP1 (n)#模组温度</t>
  </si>
  <si>
    <t>BP1 极柱1温度</t>
  </si>
  <si>
    <t>BP1 极柱(x)温度</t>
  </si>
  <si>
    <t>BP2 1#模组温度</t>
  </si>
  <si>
    <t>BP2 2#模组温度</t>
  </si>
  <si>
    <t>BP2 (n)#模组温度</t>
  </si>
  <si>
    <t>BP2 极柱1温度</t>
  </si>
  <si>
    <t>BP2 极柱(x)温度</t>
  </si>
  <si>
    <t>BP(m-1) 1#模组温度</t>
  </si>
  <si>
    <t>BP(m-1) 2#模组温度</t>
  </si>
  <si>
    <r>
      <rPr>
        <sz val="10"/>
        <color theme="1"/>
        <rFont val="宋体"/>
        <charset val="134"/>
        <scheme val="minor"/>
      </rPr>
      <t>BP(m-1) (n)#模组温度</t>
    </r>
  </si>
  <si>
    <t>BP(m-1) 极柱1温度</t>
  </si>
  <si>
    <t>BP(m-1) 极柱(x)温度</t>
  </si>
  <si>
    <t>BP(m) 1#模组温度</t>
  </si>
  <si>
    <t>BP(m) 2#模组温度</t>
  </si>
  <si>
    <t>BP(m) (n)#模组温度</t>
  </si>
  <si>
    <t>BP(m) 极柱1温度</t>
  </si>
  <si>
    <t>BP(m) 极柱(x)温度</t>
  </si>
  <si>
    <t>系统模拟量数据</t>
  </si>
  <si>
    <t>nBC 簇极柱温度最大值</t>
  </si>
  <si>
    <t>0x14FE</t>
  </si>
  <si>
    <t>nBC 最大簇极柱温度编号</t>
  </si>
  <si>
    <t>nBC 单体电池电压最大值</t>
  </si>
  <si>
    <t>nBC 电压最大单体电池编号</t>
  </si>
  <si>
    <t>nBC 单体电池电压最小值</t>
  </si>
  <si>
    <t>nBC 电压最小单体电池编号</t>
  </si>
  <si>
    <t>nBC 电池模组温度最高值</t>
  </si>
  <si>
    <t>nBC 温度最高电池模组编号</t>
  </si>
  <si>
    <t>nBC 电池模组温度最低值</t>
  </si>
  <si>
    <t>nBC 温度最低电池模组编号</t>
  </si>
  <si>
    <t>nBC Pack极柱温度最高值</t>
  </si>
  <si>
    <t>nBC 温度最高Pack编号</t>
  </si>
  <si>
    <t>nBC 最大单体电压差值</t>
  </si>
  <si>
    <t>nBC 最大电池模组温差值</t>
  </si>
  <si>
    <t>nBC 最大电池模组温升值</t>
  </si>
  <si>
    <t>nBC 最大温升电池模组编号</t>
  </si>
  <si>
    <t>nBC 最大模组电压值</t>
  </si>
  <si>
    <t>0.001V</t>
  </si>
  <si>
    <t>nBC 最大模组电压ID</t>
  </si>
  <si>
    <t>nBC 簇电压</t>
  </si>
  <si>
    <t>0.1V</t>
  </si>
  <si>
    <t>nBC 簇绝缘电阻</t>
  </si>
  <si>
    <r>
      <rPr>
        <sz val="10"/>
        <color theme="1"/>
        <rFont val="宋体"/>
        <charset val="134"/>
        <scheme val="minor"/>
      </rPr>
      <t>0.1K</t>
    </r>
    <r>
      <rPr>
        <sz val="10"/>
        <color theme="1"/>
        <rFont val="Times New Roman"/>
        <charset val="134"/>
      </rPr>
      <t>Ω</t>
    </r>
  </si>
  <si>
    <t>nBC 簇正母线绝缘电阻值</t>
  </si>
  <si>
    <t>nBC 簇负母线绝缘电阻值</t>
  </si>
  <si>
    <t>nBC 簇漏电流值</t>
  </si>
  <si>
    <t>0.1mA</t>
  </si>
  <si>
    <t>nBC 簇总电流值</t>
  </si>
  <si>
    <t>0.1A</t>
  </si>
  <si>
    <t>nBC 预留外部传感器采样值</t>
  </si>
  <si>
    <t>nBC 簇温度采样值1</t>
  </si>
  <si>
    <t>nBC 簇温度采样值2</t>
  </si>
  <si>
    <t>nBC 簇温度采样值3</t>
  </si>
  <si>
    <t>nBC 簇温度采样值4</t>
  </si>
  <si>
    <t>nBC 簇温度采样值5</t>
  </si>
  <si>
    <t>nBC 预留簇电流值</t>
  </si>
  <si>
    <t>nCMU 位操作-开关量输出:写单个线圈(05)</t>
  </si>
  <si>
    <t>DO输出控制</t>
  </si>
  <si>
    <t>DO1</t>
  </si>
  <si>
    <t>0x05</t>
  </si>
  <si>
    <t>位</t>
  </si>
  <si>
    <t>QF直流断路器控制继电器</t>
  </si>
  <si>
    <t>只写</t>
  </si>
  <si>
    <t>仅供测试用</t>
  </si>
  <si>
    <r>
      <rPr>
        <sz val="10"/>
        <color theme="1"/>
        <rFont val="宋体"/>
        <charset val="134"/>
        <scheme val="minor"/>
      </rPr>
      <t>DO2</t>
    </r>
  </si>
  <si>
    <t>KM+正直流接触器控制继电器</t>
  </si>
  <si>
    <r>
      <rPr>
        <sz val="10"/>
        <color theme="1"/>
        <rFont val="宋体"/>
        <charset val="134"/>
        <scheme val="minor"/>
      </rPr>
      <t>DO3</t>
    </r>
  </si>
  <si>
    <t>KM-负直流接触器控制继电器</t>
  </si>
  <si>
    <r>
      <rPr>
        <sz val="10"/>
        <color theme="1"/>
        <rFont val="宋体"/>
        <charset val="134"/>
        <scheme val="minor"/>
      </rPr>
      <t>DO4</t>
    </r>
  </si>
  <si>
    <t>KMR电阻投切接触器控制继电器</t>
  </si>
  <si>
    <r>
      <rPr>
        <sz val="10"/>
        <color theme="1"/>
        <rFont val="宋体"/>
        <charset val="134"/>
        <scheme val="minor"/>
      </rPr>
      <t>DO5</t>
    </r>
  </si>
  <si>
    <t>CMU告警继电器输出</t>
  </si>
  <si>
    <r>
      <rPr>
        <sz val="10"/>
        <color theme="1"/>
        <rFont val="宋体"/>
        <charset val="134"/>
        <scheme val="minor"/>
      </rPr>
      <t>DO6</t>
    </r>
  </si>
  <si>
    <t>充电指示继电器输出</t>
  </si>
  <si>
    <r>
      <rPr>
        <sz val="10"/>
        <color theme="1"/>
        <rFont val="宋体"/>
        <charset val="134"/>
        <scheme val="minor"/>
      </rPr>
      <t>DO7</t>
    </r>
  </si>
  <si>
    <t>放电指示继电器输出</t>
  </si>
  <si>
    <r>
      <rPr>
        <sz val="10"/>
        <color theme="1"/>
        <rFont val="宋体"/>
        <charset val="134"/>
        <scheme val="minor"/>
      </rPr>
      <t>DO8</t>
    </r>
  </si>
  <si>
    <t>系统运行指示继电器输出</t>
  </si>
  <si>
    <r>
      <rPr>
        <sz val="10"/>
        <color theme="1"/>
        <rFont val="宋体"/>
        <charset val="134"/>
        <scheme val="minor"/>
      </rPr>
      <t>DO9</t>
    </r>
  </si>
  <si>
    <t>NMOS供电输出(预留)</t>
  </si>
  <si>
    <r>
      <rPr>
        <sz val="10"/>
        <color theme="1"/>
        <rFont val="宋体"/>
        <charset val="134"/>
        <scheme val="minor"/>
      </rPr>
      <t>DO10</t>
    </r>
  </si>
  <si>
    <t>簇电池告警继电器输出</t>
  </si>
  <si>
    <r>
      <rPr>
        <sz val="10"/>
        <color theme="1"/>
        <rFont val="宋体"/>
        <charset val="134"/>
        <scheme val="minor"/>
      </rPr>
      <t>DO11</t>
    </r>
  </si>
  <si>
    <t>风扇控制继电器输出</t>
  </si>
  <si>
    <t>DO12</t>
  </si>
  <si>
    <t>预留继电器1输出</t>
  </si>
  <si>
    <t>DO13</t>
  </si>
  <si>
    <t>预留继电器2输出</t>
  </si>
  <si>
    <t>DO14</t>
  </si>
  <si>
    <t>预留继电器3输出</t>
  </si>
  <si>
    <t>DO15</t>
  </si>
  <si>
    <t>预留继电器4输出</t>
  </si>
  <si>
    <t>DO16</t>
  </si>
  <si>
    <t>预留继电器5输出</t>
  </si>
  <si>
    <t>nCMU 16位操作-内部寄存器:写单个寄存器(06)</t>
  </si>
  <si>
    <t>写SOC-V表</t>
  </si>
  <si>
    <t>0x06/0x03</t>
  </si>
  <si>
    <t>详见寄存器读（03）</t>
  </si>
  <si>
    <t>写配置参数</t>
  </si>
  <si>
    <t>*</t>
  </si>
  <si>
    <t>合闸综合命令</t>
  </si>
  <si>
    <t>0x06</t>
  </si>
  <si>
    <t>0xAA55:按顺序合接触器(CMU功能使能位Bit9需为0才有效);
0x55AA:按顺序分接触器(CMU功能使能位Bit9需为0才有效).</t>
  </si>
  <si>
    <t>正接触器远程控制命令</t>
  </si>
  <si>
    <t>0xAA55:合正接触器(CMU功能使能位Bit9需为0才有效);
0x55AA:分正接触器(CMU功能使能位Bit9需为0才有效).</t>
  </si>
  <si>
    <t>0xFF00</t>
  </si>
  <si>
    <t>负接触器远程控制命令</t>
  </si>
  <si>
    <t>0xAA55:合负接触器(CMU功能使能位Bit9需为0才有效);
0x55AA:分负接触器(CMU功能使能位Bit9需为0才有效).</t>
  </si>
  <si>
    <t>0xFF01</t>
  </si>
  <si>
    <t>KMR接触器远程控制命令</t>
  </si>
  <si>
    <t>0xAA55:合KMR接触器(CMU功能使能位Bit9需为0才有效);
0x55AA:分KMR接触器(CMU功能使能位Bit9需为0才有效).</t>
  </si>
  <si>
    <t>0xFF02</t>
  </si>
  <si>
    <t>QF远程控制命令</t>
  </si>
  <si>
    <t>0x55AA:分QF断路器(CMU功能使能位Bit9需为0才有效).</t>
  </si>
  <si>
    <t>0xFF03</t>
  </si>
  <si>
    <t>风扇远程控制命令</t>
  </si>
  <si>
    <t>0xAA55:风扇开启(CMU功能使能位Bit8需为0才有效);
0x55AA:风扇关闭(CMU功能使能位Bit8需为0才有效).</t>
  </si>
  <si>
    <t>0xFF04</t>
  </si>
  <si>
    <t>0xFF05</t>
  </si>
  <si>
    <t>远程电操控制命令</t>
  </si>
  <si>
    <t>0xAA55:电操合闸(CMU功能使能位Bit9需为0才有效);
0x55AA:电操分闸(CMU功能使能位Bit9需为0才有效).</t>
  </si>
  <si>
    <t>0xFF06</t>
  </si>
  <si>
    <t>解除写保护</t>
  </si>
  <si>
    <t>写入0x67A5，解除保护 有效时间2秒，每次写入都需要解除保护</t>
  </si>
  <si>
    <t>0xFFF0</t>
  </si>
  <si>
    <t>恢复出厂设置</t>
  </si>
  <si>
    <t>1.写入0x1D32，CMU恢复出厂设置；
2.写入0xAA55:BMU重置拨码；
3.写入0x55AA: BMU保存拨码；</t>
  </si>
  <si>
    <t>0xFFF1</t>
  </si>
  <si>
    <t>清除电量统计值</t>
  </si>
  <si>
    <t>写入0x1EC6，累计量清零，包括累计充放电量、充放电时间、充放电次数</t>
  </si>
  <si>
    <t>0xFFF2</t>
  </si>
  <si>
    <t>重启</t>
  </si>
  <si>
    <t>写入0x1D32，CMU重启。</t>
  </si>
  <si>
    <t>0xFFF3</t>
  </si>
  <si>
    <t>系统允许操作QF、KM命令</t>
  </si>
  <si>
    <t>0xA5B6:系统允许对QF、KM进行合闸/分闸操作;其他值则不允许</t>
  </si>
  <si>
    <t>0xFFF4</t>
  </si>
  <si>
    <t>SOC手动校准</t>
  </si>
  <si>
    <t>0x1EA5：校准SOC</t>
  </si>
  <si>
    <t>0xFFF5</t>
  </si>
  <si>
    <t>SOC/SOH人工标定</t>
  </si>
  <si>
    <t>0x5xxx：标定SOC
0xAxxx：标定SOH
其中xxx为要标定的值，精度0.1%，范围0%-100%</t>
  </si>
  <si>
    <t>0xFFF6</t>
  </si>
  <si>
    <t>nCMU 16位操作-内部寄存器:写多个寄存器(16)</t>
  </si>
  <si>
    <t>0x10/0x03</t>
  </si>
  <si>
    <t>n*2</t>
  </si>
  <si>
    <t>详见读内部寄存器(03)</t>
  </si>
  <si>
    <t>绝缘检测板参数校准</t>
  </si>
  <si>
    <t>0x10</t>
  </si>
  <si>
    <t>共2个寄存器,其中第一个为命令,第二个为校准值
命令0xCC11,母线总电压校准
命令0xCC22,正母线绝缘电阻校准
命令0xCC33,负母线绝缘电阻校准</t>
  </si>
  <si>
    <t>0xF000</t>
  </si>
  <si>
    <t>均衡命令</t>
  </si>
  <si>
    <t>共3个寄存器:
手动均衡某个单体
0x88(16bit)+BmuID(8bit)+CellID(4bit)+均衡方向(4bit)(0x01放0x02充)+电流大小(8bit)+时间(8bit)(1-30s)
强制均衡某个抽屉
0x55(16bit)+0x55(8bit)+BmuID(8bit)+目标电压(16bit):停止均衡
0x55+0xAA+BmuID+目标电压(16bit):开启某个抽屉强制均衡</t>
  </si>
  <si>
    <t>0xF0A0</t>
  </si>
  <si>
    <t>对时信号</t>
  </si>
  <si>
    <t>Unix时间秒，小端格式(Little-endian byte swap)</t>
  </si>
  <si>
    <t>0xFFE0</t>
  </si>
  <si>
    <t>校准量程</t>
  </si>
  <si>
    <t>共9个寄存器，其中前8个寄存器为升级密钥；最后一个寄存器为升级代码：
0x0011：电流采样低点校准
0x0022：电压采样低点校准
0x0033：漏电流低点校准
0x0044：预留传感器低点校准
0xBB11：电流采样基点校准
0xBB22：电压采样基点校准
0xBB33：漏电流基点校准
0xBB44：预留传感器基点校准
0xAA11：电流采样高点校准
0xAA22：电压采样高点校准
0xAA33：漏电流高点校准
0xAA44：预留传感器高点校准</t>
  </si>
  <si>
    <t>0xFFC0</t>
  </si>
  <si>
    <t>升级</t>
  </si>
  <si>
    <r>
      <rPr>
        <sz val="10"/>
        <color theme="1"/>
        <rFont val="宋体"/>
        <charset val="134"/>
        <scheme val="minor"/>
      </rPr>
      <t xml:space="preserve">共9个寄存器，其中前8个寄存器为升级密钥；最后一个寄存器为升级代码：
0x5A78=升级CMU，TFTP下载升级CMU应用程序
0x5A33=升级BMU，TFTP下载升级BMU应用程序
0xA566=升级BMU-BOOT，下载升级BMU-BOOT程序
0x5A6A=升级CMU-BOOT，下载升级CMU_BOOT程序
</t>
    </r>
    <r>
      <rPr>
        <sz val="10"/>
        <rFont val="宋体"/>
        <charset val="134"/>
        <scheme val="minor"/>
      </rPr>
      <t>0xA5B6=下载并升级绝缘检测板应用程序</t>
    </r>
  </si>
  <si>
    <t>0xFFD0</t>
  </si>
  <si>
    <t>清除事件命令</t>
  </si>
  <si>
    <t>0xAA55:清除新事件个数；0xBB66:清所有事件</t>
  </si>
  <si>
    <t>0xFFF8</t>
  </si>
  <si>
    <t>清除事件个数</t>
  </si>
  <si>
    <t>命令为0xAA55时,输入要清除新事件的个数；0xBB66时缺省</t>
  </si>
  <si>
    <t>0xFFF9</t>
  </si>
  <si>
    <t>相关说明:</t>
  </si>
  <si>
    <t>事件类型编号</t>
  </si>
  <si>
    <t>事件类型</t>
  </si>
  <si>
    <t>ID</t>
  </si>
  <si>
    <t>存储数据及类型</t>
  </si>
  <si>
    <t>事件记录结构体(16字节)</t>
  </si>
  <si>
    <r>
      <rPr>
        <sz val="11"/>
        <color theme="1"/>
        <rFont val="宋体"/>
        <charset val="134"/>
        <scheme val="minor"/>
      </rPr>
      <t xml:space="preserve">EVT_CELL_UV = 1,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//1单体电池低压告警</t>
    </r>
  </si>
  <si>
    <t>最小电压ID</t>
  </si>
  <si>
    <t>最小电压、门限电压(uint16)</t>
  </si>
  <si>
    <t>uint32_t u32time_s;  //发生时间s</t>
  </si>
  <si>
    <r>
      <rPr>
        <sz val="11"/>
        <color theme="1"/>
        <rFont val="宋体"/>
        <charset val="134"/>
        <scheme val="minor"/>
      </rPr>
      <t xml:space="preserve">EVT_CELL_UUV,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//单体电池低压故障</t>
    </r>
  </si>
  <si>
    <t>uint16_t u16time_ms; //系统毫秒ms</t>
  </si>
  <si>
    <t>EVT_CELL_OV,         //单体电池过压告警</t>
  </si>
  <si>
    <t>最大电压ID</t>
  </si>
  <si>
    <t>最大电压、门限电压(uint16)</t>
  </si>
  <si>
    <t>uint16_t u16State;   //系统状态</t>
  </si>
  <si>
    <t>EVT_CELL_OOV,        //单体电池过压故障</t>
  </si>
  <si>
    <t>uint16_t u16Type;    //事件类型</t>
  </si>
  <si>
    <t>EVT_CELL_OVDiff,     //单体压差告警</t>
  </si>
  <si>
    <t>最大/最小电压ID</t>
  </si>
  <si>
    <t>电压压差、门限电压(uint16)</t>
  </si>
  <si>
    <t>uint16_t u16Id;      //发生事件ID</t>
  </si>
  <si>
    <t>EVT_CELL_OOVDiff,    //单体压差故障</t>
  </si>
  <si>
    <t>EvtData_Typedef Val; //数值(16bits)</t>
  </si>
  <si>
    <r>
      <rPr>
        <sz val="11"/>
        <color theme="1"/>
        <rFont val="宋体"/>
        <charset val="134"/>
        <scheme val="minor"/>
      </rPr>
      <t xml:space="preserve">EVT_VOLT_OW, 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//单体电压采样线断线告警</t>
    </r>
  </si>
  <si>
    <t>断线BMU ID号</t>
  </si>
  <si>
    <t>电压断线状态字(uint16)</t>
  </si>
  <si>
    <t>EvtData_Typedef Limit;//发生时门限值</t>
  </si>
  <si>
    <r>
      <rPr>
        <sz val="11"/>
        <color theme="1"/>
        <rFont val="宋体"/>
        <charset val="134"/>
        <scheme val="minor"/>
      </rPr>
      <t xml:space="preserve">EVT_CELL_VOK,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//单体电池故障复归</t>
    </r>
  </si>
  <si>
    <t>单体最小/最大电压(uint16)</t>
  </si>
  <si>
    <r>
      <rPr>
        <sz val="11"/>
        <color theme="1"/>
        <rFont val="宋体"/>
        <charset val="134"/>
        <scheme val="minor"/>
      </rPr>
      <t xml:space="preserve">EVT_PACK_OT, 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//9模组过温告警</t>
    </r>
  </si>
  <si>
    <t>最大温度ID</t>
  </si>
  <si>
    <t>最大温度、门限温度(int16)</t>
  </si>
  <si>
    <r>
      <rPr>
        <sz val="11"/>
        <color theme="1"/>
        <rFont val="宋体"/>
        <charset val="134"/>
        <scheme val="minor"/>
      </rPr>
      <t xml:space="preserve">EVT_PACK_OOT,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//模组过温故障</t>
    </r>
  </si>
  <si>
    <r>
      <rPr>
        <sz val="11"/>
        <color theme="1"/>
        <rFont val="宋体"/>
        <charset val="134"/>
        <scheme val="minor"/>
      </rPr>
      <t xml:space="preserve">EVT_PACK_UT, 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//模组低温告警</t>
    </r>
  </si>
  <si>
    <t>最小温度ID</t>
  </si>
  <si>
    <t>最小温度、门限温度(int16)</t>
  </si>
  <si>
    <r>
      <rPr>
        <sz val="11"/>
        <color theme="1"/>
        <rFont val="宋体"/>
        <charset val="134"/>
        <scheme val="minor"/>
      </rPr>
      <t xml:space="preserve">EVT_PACK_UUT,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//模组低温故障 </t>
    </r>
  </si>
  <si>
    <r>
      <rPr>
        <sz val="11"/>
        <color theme="1"/>
        <rFont val="宋体"/>
        <charset val="134"/>
        <scheme val="minor"/>
      </rPr>
      <t xml:space="preserve">EVT_PACK_OTDiff,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//模组温差告警</t>
    </r>
  </si>
  <si>
    <t>最大/最小温度ID</t>
  </si>
  <si>
    <t>温度差值、门限温度(int16)</t>
  </si>
  <si>
    <r>
      <rPr>
        <sz val="11"/>
        <color theme="1"/>
        <rFont val="宋体"/>
        <charset val="134"/>
        <scheme val="minor"/>
      </rPr>
      <t xml:space="preserve">EVT_PACK_OOTDiff,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//模组温差故障</t>
    </r>
  </si>
  <si>
    <r>
      <rPr>
        <sz val="11"/>
        <color theme="1"/>
        <rFont val="宋体"/>
        <charset val="134"/>
        <scheme val="minor"/>
      </rPr>
      <t xml:space="preserve">EVT_PACK_OTrise,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//模组温升告警</t>
    </r>
  </si>
  <si>
    <t>最大温升ID</t>
  </si>
  <si>
    <t>最大温升、门限温度(int16)</t>
  </si>
  <si>
    <r>
      <rPr>
        <sz val="11"/>
        <color theme="1"/>
        <rFont val="宋体"/>
        <charset val="134"/>
        <scheme val="minor"/>
      </rPr>
      <t xml:space="preserve">EVT_PACK_OOTrise,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//模组温升故障</t>
    </r>
  </si>
  <si>
    <r>
      <rPr>
        <sz val="11"/>
        <color theme="1"/>
        <rFont val="宋体"/>
        <charset val="134"/>
        <scheme val="minor"/>
      </rPr>
      <t xml:space="preserve">EVT_TEMP_OW, 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//模组温度采样线断线告警</t>
    </r>
  </si>
  <si>
    <t>温度断线状态字(uint16)</t>
  </si>
  <si>
    <r>
      <rPr>
        <sz val="11"/>
        <color theme="1"/>
        <rFont val="宋体"/>
        <charset val="134"/>
        <scheme val="minor"/>
      </rPr>
      <t xml:space="preserve">EVT_PACK_TOK,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//模组温度复归</t>
    </r>
  </si>
  <si>
    <t>模组最小/最大温度(int16)</t>
  </si>
  <si>
    <r>
      <rPr>
        <sz val="11"/>
        <color theme="1"/>
        <rFont val="宋体"/>
        <charset val="134"/>
        <scheme val="minor"/>
      </rPr>
      <t xml:space="preserve">EVT_POLE_OT, 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//极柱过温告警 </t>
    </r>
  </si>
  <si>
    <t>最大极柱温度ID</t>
  </si>
  <si>
    <t>最大极柱温度、门限温度(int16)</t>
  </si>
  <si>
    <r>
      <rPr>
        <sz val="11"/>
        <color theme="1"/>
        <rFont val="宋体"/>
        <charset val="134"/>
        <scheme val="minor"/>
      </rPr>
      <t xml:space="preserve">EVT_POLE_OOT,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//极柱过温故障</t>
    </r>
  </si>
  <si>
    <r>
      <rPr>
        <sz val="11"/>
        <color theme="1"/>
        <rFont val="宋体"/>
        <charset val="134"/>
        <scheme val="minor"/>
      </rPr>
      <t xml:space="preserve">EVT_POLE_TOK,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//极柱故障复归</t>
    </r>
  </si>
  <si>
    <t>极柱最小/最大温度(int16)</t>
  </si>
  <si>
    <r>
      <rPr>
        <sz val="11"/>
        <color theme="1"/>
        <rFont val="宋体"/>
        <charset val="134"/>
        <scheme val="minor"/>
      </rPr>
      <t xml:space="preserve">EVT_CLUSTER_OI,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//22过流告警</t>
    </r>
  </si>
  <si>
    <t>电流值、电流门限值(int16)</t>
  </si>
  <si>
    <r>
      <rPr>
        <sz val="11"/>
        <color theme="1"/>
        <rFont val="宋体"/>
        <charset val="134"/>
        <scheme val="minor"/>
      </rPr>
      <t xml:space="preserve">EVT_CLUSTER_OOI,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//过流故障</t>
    </r>
  </si>
  <si>
    <r>
      <rPr>
        <sz val="11"/>
        <color theme="1"/>
        <rFont val="宋体"/>
        <charset val="134"/>
        <scheme val="minor"/>
      </rPr>
      <t xml:space="preserve">EVT_CLUSTER_IOK,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//过流复归</t>
    </r>
  </si>
  <si>
    <r>
      <rPr>
        <sz val="11"/>
        <color theme="1"/>
        <rFont val="宋体"/>
        <charset val="134"/>
        <scheme val="minor"/>
      </rPr>
      <t xml:space="preserve">EVT_CLUSTER_IShort,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//短路故障</t>
    </r>
  </si>
  <si>
    <r>
      <rPr>
        <sz val="11"/>
        <color theme="1"/>
        <rFont val="宋体"/>
        <charset val="134"/>
        <scheme val="minor"/>
      </rPr>
      <t xml:space="preserve">EVT_CLUSTER_OV,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//电池串过压告警</t>
    </r>
  </si>
  <si>
    <t>簇电压、簇电压门限值(uint16)</t>
  </si>
  <si>
    <r>
      <rPr>
        <sz val="11"/>
        <color theme="1"/>
        <rFont val="宋体"/>
        <charset val="134"/>
        <scheme val="minor"/>
      </rPr>
      <t xml:space="preserve">EVT_CLUSTER_OOV,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//电池串过压故障 </t>
    </r>
  </si>
  <si>
    <r>
      <rPr>
        <sz val="11"/>
        <color theme="1"/>
        <rFont val="宋体"/>
        <charset val="134"/>
        <scheme val="minor"/>
      </rPr>
      <t xml:space="preserve">EVT_CLUSTER_UV,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//电池串低压告警</t>
    </r>
  </si>
  <si>
    <r>
      <rPr>
        <sz val="11"/>
        <color theme="1"/>
        <rFont val="宋体"/>
        <charset val="134"/>
        <scheme val="minor"/>
      </rPr>
      <t xml:space="preserve">EVT_CLUSTER_UUV,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//电池串低压故障 </t>
    </r>
  </si>
  <si>
    <r>
      <rPr>
        <sz val="11"/>
        <color theme="1"/>
        <rFont val="宋体"/>
        <charset val="134"/>
        <scheme val="minor"/>
      </rPr>
      <t xml:space="preserve">EVT_CLUSTER_VOK,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//电池串故障复归</t>
    </r>
  </si>
  <si>
    <r>
      <rPr>
        <sz val="11"/>
        <color theme="1"/>
        <rFont val="宋体"/>
        <charset val="134"/>
        <scheme val="minor"/>
      </rPr>
      <t xml:space="preserve">EVT_INS_RES_LOW,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//31电池串绝缘故障</t>
    </r>
  </si>
  <si>
    <t>绝缘电阻、绝缘电阻门限值(uint16)</t>
  </si>
  <si>
    <r>
      <rPr>
        <sz val="11"/>
        <color theme="1"/>
        <rFont val="宋体"/>
        <charset val="134"/>
        <scheme val="minor"/>
      </rPr>
      <t>0.1K</t>
    </r>
    <r>
      <rPr>
        <sz val="11"/>
        <color theme="1"/>
        <rFont val="Times New Roman"/>
        <charset val="134"/>
      </rPr>
      <t>Ω</t>
    </r>
  </si>
  <si>
    <r>
      <rPr>
        <sz val="11"/>
        <color theme="1"/>
        <rFont val="宋体"/>
        <charset val="134"/>
        <scheme val="minor"/>
      </rPr>
      <t xml:space="preserve">EVT_INS_RES_OK,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//电池串绝缘故障复归</t>
    </r>
  </si>
  <si>
    <r>
      <rPr>
        <sz val="11"/>
        <color theme="1"/>
        <rFont val="宋体"/>
        <charset val="134"/>
        <scheme val="minor"/>
      </rPr>
      <t xml:space="preserve">EVT_LEAKAGE_LOW,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//电池串漏电流故障</t>
    </r>
  </si>
  <si>
    <t>漏电流、漏电流门限值(int16)</t>
  </si>
  <si>
    <r>
      <rPr>
        <sz val="11"/>
        <color theme="1"/>
        <rFont val="宋体"/>
        <charset val="134"/>
        <scheme val="minor"/>
      </rPr>
      <t xml:space="preserve">EVT_LEAKAGE_OK,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//电池串漏电流故障复归</t>
    </r>
  </si>
  <si>
    <r>
      <rPr>
        <sz val="11"/>
        <color theme="1"/>
        <rFont val="宋体"/>
        <charset val="134"/>
        <scheme val="minor"/>
      </rPr>
      <t xml:space="preserve">EVT_START_CHG,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//开始充电</t>
    </r>
  </si>
  <si>
    <t>系统上次的状态</t>
  </si>
  <si>
    <t>充电电流、检测阈值(int16)</t>
  </si>
  <si>
    <r>
      <rPr>
        <sz val="11"/>
        <color theme="1"/>
        <rFont val="宋体"/>
        <charset val="134"/>
        <scheme val="minor"/>
      </rPr>
      <t xml:space="preserve">EVT_STOP_CHG,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//停止充电</t>
    </r>
  </si>
  <si>
    <t>簇电流值(int16)</t>
  </si>
  <si>
    <r>
      <rPr>
        <sz val="11"/>
        <color theme="1"/>
        <rFont val="宋体"/>
        <charset val="134"/>
        <scheme val="minor"/>
      </rPr>
      <t xml:space="preserve">EVT_START_DISCHG,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//开始放电</t>
    </r>
  </si>
  <si>
    <t>放电电流、检测阈值(int16)</t>
  </si>
  <si>
    <r>
      <rPr>
        <sz val="11"/>
        <color theme="1"/>
        <rFont val="宋体"/>
        <charset val="134"/>
        <scheme val="minor"/>
      </rPr>
      <t xml:space="preserve">EVT_STOP_DISCHG,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//停止放电</t>
    </r>
  </si>
  <si>
    <r>
      <rPr>
        <sz val="11"/>
        <color theme="1"/>
        <rFont val="宋体"/>
        <charset val="134"/>
        <scheme val="minor"/>
      </rPr>
      <t xml:space="preserve">EVT_FULL_CHG,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//电池充满</t>
    </r>
  </si>
  <si>
    <t>SOC值、最大单体电压(uint16)</t>
  </si>
  <si>
    <r>
      <rPr>
        <sz val="11"/>
        <color theme="1"/>
        <rFont val="宋体"/>
        <charset val="134"/>
        <scheme val="minor"/>
      </rPr>
      <t>0.1</t>
    </r>
    <r>
      <rPr>
        <sz val="11"/>
        <color theme="1"/>
        <rFont val="宋体"/>
        <charset val="134"/>
        <scheme val="minor"/>
      </rPr>
      <t>%
0.0001V</t>
    </r>
  </si>
  <si>
    <r>
      <rPr>
        <sz val="11"/>
        <color theme="1"/>
        <rFont val="宋体"/>
        <charset val="134"/>
        <scheme val="minor"/>
      </rPr>
      <t xml:space="preserve">EVT_EMPTY_DISCHG,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 //40电池放空</t>
    </r>
  </si>
  <si>
    <t>SOC值、最小单体电压(uint16)</t>
  </si>
  <si>
    <r>
      <rPr>
        <sz val="11"/>
        <color theme="1"/>
        <rFont val="宋体"/>
        <charset val="134"/>
        <scheme val="minor"/>
      </rPr>
      <t xml:space="preserve">EVT_BALANCE_START,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//均衡启动</t>
    </r>
  </si>
  <si>
    <t>均衡ID</t>
  </si>
  <si>
    <t>均衡状态</t>
  </si>
  <si>
    <r>
      <rPr>
        <sz val="11"/>
        <color theme="1"/>
        <rFont val="宋体"/>
        <charset val="134"/>
        <scheme val="minor"/>
      </rPr>
      <t xml:space="preserve">EVT_BALANCE_END,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//均衡关闭</t>
    </r>
  </si>
  <si>
    <r>
      <rPr>
        <sz val="11"/>
        <color theme="1"/>
        <rFont val="宋体"/>
        <charset val="134"/>
        <scheme val="minor"/>
      </rPr>
      <t xml:space="preserve">EVT_QF_BREAK,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//QF分闸</t>
    </r>
  </si>
  <si>
    <t>线圈ID号</t>
  </si>
  <si>
    <t>QF控制继电器状态</t>
  </si>
  <si>
    <r>
      <rPr>
        <sz val="11"/>
        <color theme="1"/>
        <rFont val="宋体"/>
        <charset val="134"/>
        <scheme val="minor"/>
      </rPr>
      <t xml:space="preserve">EVT_KMP_BREAK,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//KM+分闸</t>
    </r>
  </si>
  <si>
    <t>KM+控制继电器状态</t>
  </si>
  <si>
    <r>
      <rPr>
        <sz val="11"/>
        <color theme="1"/>
        <rFont val="宋体"/>
        <charset val="134"/>
        <scheme val="minor"/>
      </rPr>
      <t xml:space="preserve">EVT_KMN_BREAK,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//KM-分闸</t>
    </r>
  </si>
  <si>
    <t>KM-控制继电器状态</t>
  </si>
  <si>
    <r>
      <rPr>
        <sz val="11"/>
        <color theme="1"/>
        <rFont val="宋体"/>
        <charset val="134"/>
        <scheme val="minor"/>
      </rPr>
      <t xml:space="preserve">EVT_KMP_CLOSE,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//KM+合闸</t>
    </r>
  </si>
  <si>
    <r>
      <rPr>
        <sz val="11"/>
        <color theme="1"/>
        <rFont val="宋体"/>
        <charset val="134"/>
        <scheme val="minor"/>
      </rPr>
      <t xml:space="preserve">EVT_KMN_CLOSE,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//KM-合闸</t>
    </r>
  </si>
  <si>
    <r>
      <rPr>
        <sz val="11"/>
        <color theme="1"/>
        <rFont val="宋体"/>
        <charset val="134"/>
        <scheme val="minor"/>
      </rPr>
      <t xml:space="preserve">EVT_FAN_OPEN,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//开风机</t>
    </r>
  </si>
  <si>
    <t>风机继电器状态</t>
  </si>
  <si>
    <t>最大电池温度、环控温度门限(int6)</t>
  </si>
  <si>
    <r>
      <rPr>
        <sz val="11"/>
        <color theme="1"/>
        <rFont val="宋体"/>
        <charset val="134"/>
        <scheme val="minor"/>
      </rPr>
      <t xml:space="preserve">EVT_FAN_CLOSE,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//关风机</t>
    </r>
  </si>
  <si>
    <r>
      <rPr>
        <sz val="11"/>
        <color theme="1"/>
        <rFont val="宋体"/>
        <charset val="134"/>
        <scheme val="minor"/>
      </rPr>
      <t xml:space="preserve">EVT_SYS_START,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//50BMS启动  </t>
    </r>
  </si>
  <si>
    <t>--</t>
  </si>
  <si>
    <r>
      <rPr>
        <sz val="11"/>
        <color theme="1"/>
        <rFont val="宋体"/>
        <charset val="134"/>
        <scheme val="minor"/>
      </rPr>
      <t xml:space="preserve">EVT_CFG_CHG,      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//配置改变</t>
    </r>
  </si>
  <si>
    <t>配置参数ID</t>
  </si>
  <si>
    <t>参数值</t>
  </si>
  <si>
    <r>
      <rPr>
        <sz val="11"/>
        <color theme="1"/>
        <rFont val="宋体"/>
        <charset val="134"/>
        <scheme val="minor"/>
      </rPr>
      <t>EVT_CMU_UPD_CHK_ERR,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//CMU升级文件校验失败</t>
    </r>
  </si>
  <si>
    <r>
      <rPr>
        <sz val="11"/>
        <color theme="1"/>
        <rFont val="宋体"/>
        <charset val="134"/>
        <scheme val="minor"/>
      </rPr>
      <t xml:space="preserve">EVT_CMU_UPDATE_OK,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//CMU升级成功</t>
    </r>
  </si>
  <si>
    <r>
      <rPr>
        <sz val="11"/>
        <color theme="1"/>
        <rFont val="宋体"/>
        <charset val="134"/>
        <scheme val="minor"/>
      </rPr>
      <t>CMU</t>
    </r>
    <r>
      <rPr>
        <sz val="11"/>
        <color theme="1"/>
        <rFont val="宋体"/>
        <charset val="134"/>
        <scheme val="minor"/>
      </rPr>
      <t xml:space="preserve"> 版本号</t>
    </r>
  </si>
  <si>
    <t>EVT_CMU_UPD_DOWN_ERR,//CMU升级文件下载失败</t>
  </si>
  <si>
    <t>故障代码</t>
  </si>
  <si>
    <r>
      <rPr>
        <sz val="11"/>
        <color theme="1"/>
        <rFont val="宋体"/>
        <charset val="134"/>
        <scheme val="minor"/>
      </rPr>
      <t xml:space="preserve">EVT_BMU_ERR,         </t>
    </r>
    <r>
      <rPr>
        <sz val="11"/>
        <color theme="1"/>
        <rFont val="宋体"/>
        <charset val="134"/>
        <scheme val="minor"/>
      </rPr>
      <t>//BMU故障</t>
    </r>
  </si>
  <si>
    <t>故障的BMU ID</t>
  </si>
  <si>
    <t>故障状态</t>
  </si>
  <si>
    <r>
      <rPr>
        <sz val="11"/>
        <color theme="1"/>
        <rFont val="宋体"/>
        <charset val="134"/>
        <scheme val="minor"/>
      </rPr>
      <t xml:space="preserve">EVT_BMU_UPDATE_OK,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//预留</t>
    </r>
  </si>
  <si>
    <t>预留</t>
  </si>
  <si>
    <r>
      <rPr>
        <sz val="11"/>
        <color theme="1"/>
        <rFont val="宋体"/>
        <charset val="134"/>
        <scheme val="minor"/>
      </rPr>
      <t>EVT_BMU_UPDATE_FAIL,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//预留</t>
    </r>
  </si>
  <si>
    <r>
      <rPr>
        <sz val="11"/>
        <color theme="1"/>
        <rFont val="宋体"/>
        <charset val="134"/>
        <scheme val="minor"/>
      </rPr>
      <t xml:space="preserve">EVT_BMU_COMM_FAIL, 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//预留</t>
    </r>
  </si>
  <si>
    <r>
      <rPr>
        <sz val="11"/>
        <color theme="1"/>
        <rFont val="宋体"/>
        <charset val="134"/>
        <scheme val="minor"/>
      </rPr>
      <t xml:space="preserve">EVT_BMU_ERR_OK,      </t>
    </r>
    <r>
      <rPr>
        <sz val="11"/>
        <color theme="1"/>
        <rFont val="宋体"/>
        <charset val="134"/>
        <scheme val="minor"/>
      </rPr>
      <t>//BMU故障复归</t>
    </r>
  </si>
  <si>
    <t>复归的BMU ID</t>
  </si>
  <si>
    <t>EVT_RTU_COMM_FAIL    //60预充失败</t>
  </si>
  <si>
    <t>当前电流值、预充电流定值</t>
  </si>
  <si>
    <t>EVT_VOLT_OW_OK,      //单体电压断线复归</t>
  </si>
  <si>
    <t>EVT_TEMP_OW_OK       //温度断线复归</t>
  </si>
  <si>
    <t>EVT_CPoT_ERR,        //簇极柱高温保护</t>
  </si>
  <si>
    <t>EVT_CPoT_ALM,        //簇极柱高温告警</t>
  </si>
  <si>
    <t>EVT_CPoT_WIRE,       //簇极柱断线告警</t>
  </si>
  <si>
    <t>EVT_CPoT_OK,         //簇极柱故障复归</t>
  </si>
  <si>
    <t>EVT_QF_ERR,          //预留</t>
  </si>
  <si>
    <t>EVT_KM_ERR,          //KM故障(拒动/状态不一)</t>
  </si>
  <si>
    <t>接触器控制状态</t>
  </si>
  <si>
    <t>接触器回采状态</t>
  </si>
  <si>
    <t>EVT_KMR,             //KMR合闸</t>
  </si>
  <si>
    <t>KMR回采状态</t>
  </si>
  <si>
    <t>EVT_KMR,             //KMR分闸</t>
  </si>
  <si>
    <t>EVT_DI_SMOKE = 128,  //烟感动作</t>
  </si>
  <si>
    <t>DI输入状态</t>
  </si>
  <si>
    <t>EVT_DI_WATER,        //水浸动作</t>
  </si>
  <si>
    <t>EVT_DI_FIRE,         //消防动作</t>
  </si>
  <si>
    <t>EVT_DI_STOP,         //急停动作</t>
  </si>
  <si>
    <t>2022/01/11:
1、增加主动均衡状态和控制点.
2020/04/15:
1、完善预留DI/DO的定义说明；
2、整理预留项。
2020/02/27:
1、增加屏蔽某个BMU数据统计寄存器；
2、增加并列/解列模式使能位；
3、增加系统告警屏蔽寄存器和系统保护屏蔽寄存器；
4、不影响运行的告警不使用(保留),增加允许合闸/分闸命令寄存器，防止误操作。
2019/12/27:
1、增加调试信息端口选择功能使能位(udp为广播模式,端口号500);
2、增加单/多簇模式选择功能使能位;
3、增加备用1s脉冲输出控制(可用于DC/DC电源重启控制)。
2019/10/30:
1、CMU-V2运行点表，初版。
2019/11/08:
1、修改校准命令以兼容旧版。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</si>
</sst>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8" fillId="18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5" borderId="22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26" borderId="24" applyNumberFormat="0" applyAlignment="0" applyProtection="0">
      <alignment vertical="center"/>
    </xf>
    <xf numFmtId="0" fontId="20" fillId="26" borderId="21" applyNumberFormat="0" applyAlignment="0" applyProtection="0">
      <alignment vertical="center"/>
    </xf>
    <xf numFmtId="0" fontId="11" fillId="10" borderId="19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/>
    </xf>
    <xf numFmtId="0" fontId="1" fillId="0" borderId="2" xfId="0" applyFont="1" applyFill="1" applyBorder="1" applyAlignment="1"/>
    <xf numFmtId="0" fontId="1" fillId="0" borderId="1" xfId="0" applyFont="1" applyBorder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/>
    <xf numFmtId="0" fontId="0" fillId="0" borderId="1" xfId="0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Fill="1" applyBorder="1" applyAlignment="1"/>
    <xf numFmtId="0" fontId="0" fillId="0" borderId="1" xfId="0" applyFont="1" applyFill="1" applyBorder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left" vertical="center" wrapText="1"/>
    </xf>
    <xf numFmtId="0" fontId="3" fillId="0" borderId="10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4" borderId="11" xfId="0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left" vertical="center" wrapText="1"/>
    </xf>
    <xf numFmtId="0" fontId="6" fillId="0" borderId="8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left" vertic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0" fontId="4" fillId="0" borderId="12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3" borderId="13" xfId="0" applyFont="1" applyFill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" fillId="0" borderId="1" xfId="0" applyFont="1" applyBorder="1" quotePrefix="1">
      <alignment vertical="center"/>
    </xf>
    <xf numFmtId="0" fontId="1" fillId="0" borderId="1" xfId="0" applyFont="1" applyBorder="1" applyAlignment="1" quotePrefix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FF00"/>
      <color rgb="0092D050"/>
      <color rgb="00FF0000"/>
      <color rgb="008DB4E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8"/>
  <sheetViews>
    <sheetView tabSelected="1" zoomScale="85" zoomScaleNormal="85" workbookViewId="0">
      <selection activeCell="A1" sqref="A1:J1"/>
    </sheetView>
  </sheetViews>
  <sheetFormatPr defaultColWidth="9" defaultRowHeight="13.5"/>
  <cols>
    <col min="1" max="1" width="5.55833333333333" style="27" customWidth="1"/>
    <col min="2" max="2" width="38" style="28" customWidth="1"/>
    <col min="3" max="3" width="9.88333333333333" style="28" customWidth="1"/>
    <col min="4" max="4" width="9.33333333333333" style="27" customWidth="1"/>
    <col min="5" max="5" width="8.55833333333333" style="27" customWidth="1"/>
    <col min="6" max="6" width="11.6666666666667" style="27" customWidth="1"/>
    <col min="7" max="7" width="60.8833333333333" style="27" customWidth="1"/>
    <col min="8" max="8" width="6.55833333333333" style="27" customWidth="1"/>
    <col min="9" max="9" width="13.8833333333333" style="27" customWidth="1"/>
    <col min="10" max="10" width="11.6666666666667" style="27" customWidth="1"/>
  </cols>
  <sheetData>
    <row r="1" spans="1:10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79"/>
    </row>
    <row r="2" spans="1:10">
      <c r="A2" s="31" t="s">
        <v>1</v>
      </c>
      <c r="B2" s="32" t="s">
        <v>2</v>
      </c>
      <c r="C2" s="33"/>
      <c r="D2" s="34">
        <v>16</v>
      </c>
      <c r="E2" s="35" t="s">
        <v>3</v>
      </c>
      <c r="F2" s="34">
        <v>20</v>
      </c>
      <c r="G2" s="36" t="s">
        <v>4</v>
      </c>
      <c r="H2" s="34">
        <v>6</v>
      </c>
      <c r="I2" s="35" t="s">
        <v>5</v>
      </c>
      <c r="J2" s="80">
        <v>2</v>
      </c>
    </row>
    <row r="3" spans="1:10">
      <c r="A3" s="37" t="s">
        <v>6</v>
      </c>
      <c r="B3" s="38"/>
      <c r="C3" s="38"/>
      <c r="D3" s="38"/>
      <c r="E3" s="38"/>
      <c r="F3" s="38"/>
      <c r="G3" s="38"/>
      <c r="H3" s="38"/>
      <c r="I3" s="38"/>
      <c r="J3" s="81"/>
    </row>
    <row r="4" s="26" customFormat="1" spans="1:10">
      <c r="A4" s="31" t="s">
        <v>7</v>
      </c>
      <c r="B4" s="36" t="s">
        <v>8</v>
      </c>
      <c r="C4" s="36" t="s">
        <v>9</v>
      </c>
      <c r="D4" s="35" t="s">
        <v>10</v>
      </c>
      <c r="E4" s="35" t="s">
        <v>11</v>
      </c>
      <c r="F4" s="35" t="s">
        <v>12</v>
      </c>
      <c r="G4" s="35" t="s">
        <v>13</v>
      </c>
      <c r="H4" s="35" t="s">
        <v>14</v>
      </c>
      <c r="I4" s="35" t="s">
        <v>15</v>
      </c>
      <c r="J4" s="82" t="s">
        <v>16</v>
      </c>
    </row>
    <row r="5" s="26" customFormat="1" spans="1:10">
      <c r="A5" s="39" t="s">
        <v>17</v>
      </c>
      <c r="B5" s="40"/>
      <c r="C5" s="40"/>
      <c r="D5" s="40"/>
      <c r="E5" s="40"/>
      <c r="F5" s="40"/>
      <c r="G5" s="40"/>
      <c r="H5" s="40"/>
      <c r="I5" s="40"/>
      <c r="J5" s="83"/>
    </row>
    <row r="6" s="26" customFormat="1" spans="1:10">
      <c r="A6" s="41" t="s">
        <v>18</v>
      </c>
      <c r="B6" s="42"/>
      <c r="C6" s="42"/>
      <c r="D6" s="42"/>
      <c r="E6" s="42"/>
      <c r="F6" s="42"/>
      <c r="G6" s="42"/>
      <c r="H6" s="42"/>
      <c r="I6" s="42"/>
      <c r="J6" s="84"/>
    </row>
    <row r="7" s="26" customFormat="1" spans="1:10">
      <c r="A7" s="31">
        <v>1</v>
      </c>
      <c r="B7" s="36" t="s">
        <v>19</v>
      </c>
      <c r="C7" s="36" t="s">
        <v>20</v>
      </c>
      <c r="D7" s="35">
        <v>1</v>
      </c>
      <c r="E7" s="43">
        <v>4</v>
      </c>
      <c r="F7" s="43" t="s">
        <v>21</v>
      </c>
      <c r="G7" s="44" t="s">
        <v>22</v>
      </c>
      <c r="H7" s="43" t="s">
        <v>23</v>
      </c>
      <c r="I7" s="35" t="s">
        <v>24</v>
      </c>
      <c r="J7" s="82" t="s">
        <v>25</v>
      </c>
    </row>
    <row r="8" s="26" customFormat="1" ht="192" spans="1:10">
      <c r="A8" s="45">
        <v>2</v>
      </c>
      <c r="B8" s="46" t="s">
        <v>26</v>
      </c>
      <c r="C8" s="36" t="s">
        <v>20</v>
      </c>
      <c r="D8" s="47">
        <v>3</v>
      </c>
      <c r="E8" s="47">
        <v>2</v>
      </c>
      <c r="F8" s="47" t="s">
        <v>21</v>
      </c>
      <c r="G8" s="46" t="s">
        <v>27</v>
      </c>
      <c r="H8" s="47" t="s">
        <v>23</v>
      </c>
      <c r="I8" s="52" t="s">
        <v>24</v>
      </c>
      <c r="J8" s="85"/>
    </row>
    <row r="9" s="26" customFormat="1" ht="24" spans="1:10">
      <c r="A9" s="31">
        <v>3</v>
      </c>
      <c r="B9" s="46" t="s">
        <v>28</v>
      </c>
      <c r="C9" s="36" t="s">
        <v>20</v>
      </c>
      <c r="D9" s="47">
        <v>4</v>
      </c>
      <c r="E9" s="47">
        <v>2</v>
      </c>
      <c r="F9" s="47" t="s">
        <v>21</v>
      </c>
      <c r="G9" s="46" t="s">
        <v>29</v>
      </c>
      <c r="H9" s="47" t="s">
        <v>23</v>
      </c>
      <c r="I9" s="35" t="s">
        <v>24</v>
      </c>
      <c r="J9" s="82"/>
    </row>
    <row r="10" s="26" customFormat="1" ht="192" spans="1:10">
      <c r="A10" s="45">
        <v>4</v>
      </c>
      <c r="B10" s="46" t="s">
        <v>30</v>
      </c>
      <c r="C10" s="36" t="s">
        <v>20</v>
      </c>
      <c r="D10" s="47">
        <v>5</v>
      </c>
      <c r="E10" s="47">
        <v>2</v>
      </c>
      <c r="F10" s="47" t="s">
        <v>21</v>
      </c>
      <c r="G10" s="46" t="s">
        <v>31</v>
      </c>
      <c r="H10" s="47" t="s">
        <v>23</v>
      </c>
      <c r="I10" s="35" t="s">
        <v>24</v>
      </c>
      <c r="J10" s="82"/>
    </row>
    <row r="11" s="26" customFormat="1" ht="60" spans="1:10">
      <c r="A11" s="48">
        <v>5</v>
      </c>
      <c r="B11" s="46" t="s">
        <v>32</v>
      </c>
      <c r="C11" s="49" t="s">
        <v>20</v>
      </c>
      <c r="D11" s="47">
        <v>6</v>
      </c>
      <c r="E11" s="47">
        <v>2</v>
      </c>
      <c r="F11" s="47" t="s">
        <v>21</v>
      </c>
      <c r="G11" s="46" t="s">
        <v>33</v>
      </c>
      <c r="H11" s="47" t="s">
        <v>23</v>
      </c>
      <c r="I11" s="86" t="s">
        <v>24</v>
      </c>
      <c r="J11" s="82"/>
    </row>
    <row r="12" s="26" customFormat="1" ht="192" spans="1:10">
      <c r="A12" s="45">
        <v>6</v>
      </c>
      <c r="B12" s="50" t="s">
        <v>34</v>
      </c>
      <c r="C12" s="36" t="s">
        <v>20</v>
      </c>
      <c r="D12" s="47">
        <v>7</v>
      </c>
      <c r="E12" s="47">
        <v>2</v>
      </c>
      <c r="F12" s="47" t="s">
        <v>21</v>
      </c>
      <c r="G12" s="46" t="s">
        <v>35</v>
      </c>
      <c r="H12" s="47" t="s">
        <v>23</v>
      </c>
      <c r="I12" s="35" t="s">
        <v>24</v>
      </c>
      <c r="J12" s="82"/>
    </row>
    <row r="13" s="26" customFormat="1" ht="120" spans="1:10">
      <c r="A13" s="48">
        <v>7</v>
      </c>
      <c r="B13" s="50" t="s">
        <v>36</v>
      </c>
      <c r="C13" s="49" t="s">
        <v>20</v>
      </c>
      <c r="D13" s="47">
        <v>8</v>
      </c>
      <c r="E13" s="47">
        <v>2</v>
      </c>
      <c r="F13" s="47" t="s">
        <v>21</v>
      </c>
      <c r="G13" s="46" t="s">
        <v>37</v>
      </c>
      <c r="H13" s="47" t="s">
        <v>23</v>
      </c>
      <c r="I13" s="86" t="s">
        <v>24</v>
      </c>
      <c r="J13" s="82"/>
    </row>
    <row r="14" s="26" customFormat="1" ht="36" spans="1:10">
      <c r="A14" s="45">
        <v>8</v>
      </c>
      <c r="B14" s="50" t="s">
        <v>38</v>
      </c>
      <c r="C14" s="36" t="s">
        <v>20</v>
      </c>
      <c r="D14" s="47">
        <v>9</v>
      </c>
      <c r="E14" s="47">
        <v>4</v>
      </c>
      <c r="F14" s="47" t="s">
        <v>21</v>
      </c>
      <c r="G14" s="46" t="s">
        <v>39</v>
      </c>
      <c r="H14" s="47" t="s">
        <v>23</v>
      </c>
      <c r="I14" s="35" t="s">
        <v>24</v>
      </c>
      <c r="J14" s="82"/>
    </row>
    <row r="15" s="26" customFormat="1" ht="48" spans="1:10">
      <c r="A15" s="31">
        <v>9</v>
      </c>
      <c r="B15" s="50" t="s">
        <v>40</v>
      </c>
      <c r="C15" s="36" t="s">
        <v>20</v>
      </c>
      <c r="D15" s="47">
        <v>11</v>
      </c>
      <c r="E15" s="47">
        <v>4</v>
      </c>
      <c r="F15" s="47" t="s">
        <v>21</v>
      </c>
      <c r="G15" s="46" t="s">
        <v>41</v>
      </c>
      <c r="H15" s="47" t="s">
        <v>23</v>
      </c>
      <c r="I15" s="35" t="s">
        <v>24</v>
      </c>
      <c r="J15" s="82"/>
    </row>
    <row r="16" s="26" customFormat="1" ht="72" spans="1:10">
      <c r="A16" s="48">
        <v>10</v>
      </c>
      <c r="B16" s="50" t="s">
        <v>42</v>
      </c>
      <c r="C16" s="49" t="s">
        <v>20</v>
      </c>
      <c r="D16" s="47">
        <v>13</v>
      </c>
      <c r="E16" s="47">
        <v>2</v>
      </c>
      <c r="F16" s="47" t="s">
        <v>21</v>
      </c>
      <c r="G16" s="46" t="s">
        <v>43</v>
      </c>
      <c r="H16" s="47" t="s">
        <v>23</v>
      </c>
      <c r="I16" s="86" t="s">
        <v>24</v>
      </c>
      <c r="J16" s="82"/>
    </row>
    <row r="17" s="26" customFormat="1" ht="192" spans="1:10">
      <c r="A17" s="45">
        <v>11</v>
      </c>
      <c r="B17" s="51" t="s">
        <v>44</v>
      </c>
      <c r="C17" s="36" t="s">
        <v>20</v>
      </c>
      <c r="D17" s="52">
        <v>14</v>
      </c>
      <c r="E17" s="52">
        <v>2</v>
      </c>
      <c r="F17" s="52" t="s">
        <v>21</v>
      </c>
      <c r="G17" s="53" t="s">
        <v>45</v>
      </c>
      <c r="H17" s="52" t="s">
        <v>23</v>
      </c>
      <c r="I17" s="52" t="s">
        <v>24</v>
      </c>
      <c r="J17" s="85"/>
    </row>
    <row r="18" s="26" customFormat="1" ht="120" spans="1:10">
      <c r="A18" s="31">
        <v>12</v>
      </c>
      <c r="B18" s="54" t="s">
        <v>46</v>
      </c>
      <c r="C18" s="36" t="s">
        <v>20</v>
      </c>
      <c r="D18" s="52">
        <v>15</v>
      </c>
      <c r="E18" s="52">
        <v>2</v>
      </c>
      <c r="F18" s="52" t="s">
        <v>21</v>
      </c>
      <c r="G18" s="53" t="s">
        <v>47</v>
      </c>
      <c r="H18" s="52" t="s">
        <v>23</v>
      </c>
      <c r="I18" s="52" t="s">
        <v>24</v>
      </c>
      <c r="J18" s="85"/>
    </row>
    <row r="19" s="26" customFormat="1" spans="1:10">
      <c r="A19" s="55">
        <v>13</v>
      </c>
      <c r="B19" s="54" t="s">
        <v>48</v>
      </c>
      <c r="C19" s="56" t="s">
        <v>20</v>
      </c>
      <c r="D19" s="52">
        <v>16</v>
      </c>
      <c r="E19" s="52">
        <v>2</v>
      </c>
      <c r="F19" s="52" t="s">
        <v>21</v>
      </c>
      <c r="G19" s="57" t="s">
        <v>49</v>
      </c>
      <c r="H19" s="52" t="s">
        <v>23</v>
      </c>
      <c r="I19" s="52" t="s">
        <v>24</v>
      </c>
      <c r="J19" s="85"/>
    </row>
    <row r="20" s="26" customFormat="1" spans="1:10">
      <c r="A20" s="55">
        <v>14</v>
      </c>
      <c r="B20" s="54" t="s">
        <v>50</v>
      </c>
      <c r="C20" s="56" t="s">
        <v>20</v>
      </c>
      <c r="D20" s="52">
        <v>17</v>
      </c>
      <c r="E20" s="52">
        <v>2</v>
      </c>
      <c r="F20" s="52" t="s">
        <v>21</v>
      </c>
      <c r="G20" s="57" t="s">
        <v>49</v>
      </c>
      <c r="H20" s="52" t="s">
        <v>23</v>
      </c>
      <c r="I20" s="52" t="s">
        <v>24</v>
      </c>
      <c r="J20" s="85"/>
    </row>
    <row r="21" s="26" customFormat="1" spans="1:10">
      <c r="A21" s="45"/>
      <c r="B21" s="50"/>
      <c r="C21" s="50"/>
      <c r="D21" s="47"/>
      <c r="E21" s="47"/>
      <c r="F21" s="47"/>
      <c r="G21" s="46"/>
      <c r="H21" s="47"/>
      <c r="I21" s="35"/>
      <c r="J21" s="82"/>
    </row>
    <row r="22" s="26" customFormat="1" spans="1:10">
      <c r="A22" s="41" t="s">
        <v>51</v>
      </c>
      <c r="B22" s="42"/>
      <c r="C22" s="42"/>
      <c r="D22" s="42"/>
      <c r="E22" s="42"/>
      <c r="F22" s="42"/>
      <c r="G22" s="42"/>
      <c r="H22" s="42"/>
      <c r="I22" s="42"/>
      <c r="J22" s="84"/>
    </row>
    <row r="23" s="26" customFormat="1" ht="192" spans="1:10">
      <c r="A23" s="58">
        <v>1</v>
      </c>
      <c r="B23" s="59" t="s">
        <v>52</v>
      </c>
      <c r="C23" s="36" t="s">
        <v>20</v>
      </c>
      <c r="D23" s="60">
        <v>256</v>
      </c>
      <c r="E23" s="60">
        <v>2</v>
      </c>
      <c r="F23" s="60" t="s">
        <v>53</v>
      </c>
      <c r="G23" s="61" t="s">
        <v>54</v>
      </c>
      <c r="H23" s="60" t="s">
        <v>23</v>
      </c>
      <c r="I23" s="60" t="s">
        <v>24</v>
      </c>
      <c r="J23" s="87" t="s">
        <v>55</v>
      </c>
    </row>
    <row r="24" s="26" customFormat="1" spans="1:10">
      <c r="A24" s="58">
        <v>2</v>
      </c>
      <c r="B24" s="59" t="s">
        <v>56</v>
      </c>
      <c r="C24" s="36" t="s">
        <v>20</v>
      </c>
      <c r="D24" s="60">
        <f>D23+1</f>
        <v>257</v>
      </c>
      <c r="E24" s="60">
        <v>2</v>
      </c>
      <c r="F24" s="60" t="s">
        <v>53</v>
      </c>
      <c r="G24" s="61" t="s">
        <v>57</v>
      </c>
      <c r="H24" s="60" t="s">
        <v>23</v>
      </c>
      <c r="I24" s="60" t="s">
        <v>24</v>
      </c>
      <c r="J24" s="87"/>
    </row>
    <row r="25" s="26" customFormat="1" spans="1:10">
      <c r="A25" s="58" t="s">
        <v>58</v>
      </c>
      <c r="B25" s="59" t="s">
        <v>58</v>
      </c>
      <c r="C25" s="60" t="s">
        <v>58</v>
      </c>
      <c r="D25" s="60" t="s">
        <v>58</v>
      </c>
      <c r="E25" s="60" t="s">
        <v>58</v>
      </c>
      <c r="F25" s="60" t="s">
        <v>58</v>
      </c>
      <c r="G25" s="61" t="s">
        <v>58</v>
      </c>
      <c r="H25" s="60" t="s">
        <v>58</v>
      </c>
      <c r="I25" s="60" t="s">
        <v>58</v>
      </c>
      <c r="J25" s="87"/>
    </row>
    <row r="26" s="26" customFormat="1" spans="1:10">
      <c r="A26" s="58">
        <f>F2-1</f>
        <v>19</v>
      </c>
      <c r="B26" s="59" t="s">
        <v>59</v>
      </c>
      <c r="C26" s="36" t="s">
        <v>20</v>
      </c>
      <c r="D26" s="60">
        <f>D27-1</f>
        <v>274</v>
      </c>
      <c r="E26" s="60">
        <v>2</v>
      </c>
      <c r="F26" s="60" t="s">
        <v>53</v>
      </c>
      <c r="G26" s="61" t="s">
        <v>57</v>
      </c>
      <c r="H26" s="60" t="s">
        <v>23</v>
      </c>
      <c r="I26" s="60" t="s">
        <v>24</v>
      </c>
      <c r="J26" s="87"/>
    </row>
    <row r="27" s="26" customFormat="1" spans="1:10">
      <c r="A27" s="58">
        <f>F2</f>
        <v>20</v>
      </c>
      <c r="B27" s="59" t="s">
        <v>60</v>
      </c>
      <c r="C27" s="36" t="s">
        <v>20</v>
      </c>
      <c r="D27" s="60">
        <f>D23+F2-1</f>
        <v>275</v>
      </c>
      <c r="E27" s="60">
        <v>2</v>
      </c>
      <c r="F27" s="60" t="s">
        <v>53</v>
      </c>
      <c r="G27" s="61" t="s">
        <v>57</v>
      </c>
      <c r="H27" s="60" t="s">
        <v>23</v>
      </c>
      <c r="I27" s="60" t="s">
        <v>24</v>
      </c>
      <c r="J27" s="87"/>
    </row>
    <row r="28" s="26" customFormat="1" spans="1:10">
      <c r="A28" s="58"/>
      <c r="B28" s="62"/>
      <c r="C28" s="62"/>
      <c r="D28" s="62"/>
      <c r="E28" s="62"/>
      <c r="F28" s="62"/>
      <c r="G28" s="62"/>
      <c r="H28" s="62"/>
      <c r="I28" s="62"/>
      <c r="J28" s="87"/>
    </row>
    <row r="29" s="26" customFormat="1" spans="1:10">
      <c r="A29" s="63" t="s">
        <v>61</v>
      </c>
      <c r="B29" s="64"/>
      <c r="C29" s="64"/>
      <c r="D29" s="64"/>
      <c r="E29" s="64"/>
      <c r="F29" s="64"/>
      <c r="G29" s="64"/>
      <c r="H29" s="64"/>
      <c r="I29" s="64"/>
      <c r="J29" s="88"/>
    </row>
    <row r="30" s="26" customFormat="1" ht="84" spans="1:10">
      <c r="A30" s="58">
        <v>1</v>
      </c>
      <c r="B30" s="59" t="s">
        <v>62</v>
      </c>
      <c r="C30" s="59" t="s">
        <v>20</v>
      </c>
      <c r="D30" s="65">
        <f>D27+1</f>
        <v>276</v>
      </c>
      <c r="E30" s="60">
        <v>2</v>
      </c>
      <c r="F30" s="60" t="s">
        <v>53</v>
      </c>
      <c r="G30" s="61" t="s">
        <v>63</v>
      </c>
      <c r="H30" s="60" t="s">
        <v>23</v>
      </c>
      <c r="I30" s="60" t="s">
        <v>24</v>
      </c>
      <c r="J30" s="87"/>
    </row>
    <row r="31" s="26" customFormat="1" spans="1:10">
      <c r="A31" s="58">
        <v>2</v>
      </c>
      <c r="B31" s="59" t="s">
        <v>64</v>
      </c>
      <c r="C31" s="59" t="s">
        <v>20</v>
      </c>
      <c r="D31" s="65">
        <f>D30+1</f>
        <v>277</v>
      </c>
      <c r="E31" s="60">
        <v>2</v>
      </c>
      <c r="F31" s="60" t="s">
        <v>53</v>
      </c>
      <c r="G31" s="61" t="s">
        <v>57</v>
      </c>
      <c r="H31" s="60" t="s">
        <v>23</v>
      </c>
      <c r="I31" s="60" t="s">
        <v>24</v>
      </c>
      <c r="J31" s="87"/>
    </row>
    <row r="32" s="26" customFormat="1" spans="1:10">
      <c r="A32" s="58" t="s">
        <v>58</v>
      </c>
      <c r="B32" s="59" t="s">
        <v>58</v>
      </c>
      <c r="C32" s="61" t="s">
        <v>58</v>
      </c>
      <c r="D32" s="60" t="s">
        <v>58</v>
      </c>
      <c r="E32" s="60" t="s">
        <v>58</v>
      </c>
      <c r="F32" s="60" t="s">
        <v>58</v>
      </c>
      <c r="G32" s="61" t="s">
        <v>58</v>
      </c>
      <c r="H32" s="60" t="s">
        <v>58</v>
      </c>
      <c r="I32" s="60" t="s">
        <v>58</v>
      </c>
      <c r="J32" s="87"/>
    </row>
    <row r="33" s="26" customFormat="1" spans="1:10">
      <c r="A33" s="58">
        <f>F2-1</f>
        <v>19</v>
      </c>
      <c r="B33" s="59" t="s">
        <v>65</v>
      </c>
      <c r="C33" s="59" t="s">
        <v>20</v>
      </c>
      <c r="D33" s="65">
        <f>D34-1</f>
        <v>294</v>
      </c>
      <c r="E33" s="60">
        <v>2</v>
      </c>
      <c r="F33" s="60" t="s">
        <v>53</v>
      </c>
      <c r="G33" s="61" t="s">
        <v>57</v>
      </c>
      <c r="H33" s="60" t="s">
        <v>23</v>
      </c>
      <c r="I33" s="60" t="s">
        <v>24</v>
      </c>
      <c r="J33" s="87"/>
    </row>
    <row r="34" s="26" customFormat="1" spans="1:10">
      <c r="A34" s="58">
        <f>F2</f>
        <v>20</v>
      </c>
      <c r="B34" s="59" t="s">
        <v>66</v>
      </c>
      <c r="C34" s="59" t="s">
        <v>20</v>
      </c>
      <c r="D34" s="65">
        <f>D30+F2-1</f>
        <v>295</v>
      </c>
      <c r="E34" s="60">
        <v>2</v>
      </c>
      <c r="F34" s="60" t="s">
        <v>53</v>
      </c>
      <c r="G34" s="61" t="s">
        <v>57</v>
      </c>
      <c r="H34" s="60" t="s">
        <v>23</v>
      </c>
      <c r="I34" s="60" t="s">
        <v>24</v>
      </c>
      <c r="J34" s="87"/>
    </row>
    <row r="35" s="26" customFormat="1" spans="1:10">
      <c r="A35" s="58"/>
      <c r="B35" s="62"/>
      <c r="C35" s="62"/>
      <c r="D35" s="62"/>
      <c r="E35" s="62"/>
      <c r="F35" s="62"/>
      <c r="G35" s="62"/>
      <c r="H35" s="62"/>
      <c r="I35" s="62"/>
      <c r="J35" s="87"/>
    </row>
    <row r="36" s="26" customFormat="1" spans="1:10">
      <c r="A36" s="63" t="s">
        <v>67</v>
      </c>
      <c r="B36" s="64"/>
      <c r="C36" s="64"/>
      <c r="D36" s="64"/>
      <c r="E36" s="64"/>
      <c r="F36" s="64"/>
      <c r="G36" s="64"/>
      <c r="H36" s="64"/>
      <c r="I36" s="64"/>
      <c r="J36" s="88"/>
    </row>
    <row r="37" s="26" customFormat="1" ht="36" spans="1:10">
      <c r="A37" s="66">
        <v>1</v>
      </c>
      <c r="B37" s="62" t="s">
        <v>68</v>
      </c>
      <c r="C37" s="59" t="s">
        <v>20</v>
      </c>
      <c r="D37" s="65">
        <f>D34+1</f>
        <v>296</v>
      </c>
      <c r="E37" s="67">
        <v>2</v>
      </c>
      <c r="F37" s="60" t="s">
        <v>53</v>
      </c>
      <c r="G37" s="62" t="s">
        <v>69</v>
      </c>
      <c r="H37" s="60" t="s">
        <v>23</v>
      </c>
      <c r="I37" s="60" t="s">
        <v>24</v>
      </c>
      <c r="J37" s="87"/>
    </row>
    <row r="38" s="26" customFormat="1" spans="1:10">
      <c r="A38" s="66">
        <v>2</v>
      </c>
      <c r="B38" s="62" t="s">
        <v>70</v>
      </c>
      <c r="C38" s="59" t="s">
        <v>20</v>
      </c>
      <c r="D38" s="65">
        <f>D37+1</f>
        <v>297</v>
      </c>
      <c r="E38" s="67">
        <v>2</v>
      </c>
      <c r="F38" s="60" t="s">
        <v>53</v>
      </c>
      <c r="G38" s="62" t="s">
        <v>57</v>
      </c>
      <c r="H38" s="60" t="s">
        <v>23</v>
      </c>
      <c r="I38" s="60" t="s">
        <v>24</v>
      </c>
      <c r="J38" s="87"/>
    </row>
    <row r="39" s="26" customFormat="1" spans="1:10">
      <c r="A39" s="58" t="s">
        <v>58</v>
      </c>
      <c r="B39" s="59" t="s">
        <v>58</v>
      </c>
      <c r="C39" s="59"/>
      <c r="D39" s="60" t="s">
        <v>58</v>
      </c>
      <c r="E39" s="60" t="s">
        <v>58</v>
      </c>
      <c r="F39" s="60" t="s">
        <v>58</v>
      </c>
      <c r="G39" s="61" t="s">
        <v>58</v>
      </c>
      <c r="H39" s="60" t="s">
        <v>58</v>
      </c>
      <c r="I39" s="60" t="s">
        <v>58</v>
      </c>
      <c r="J39" s="87"/>
    </row>
    <row r="40" s="26" customFormat="1" spans="1:10">
      <c r="A40" s="66">
        <f>F2-1</f>
        <v>19</v>
      </c>
      <c r="B40" s="62" t="s">
        <v>71</v>
      </c>
      <c r="C40" s="59" t="s">
        <v>20</v>
      </c>
      <c r="D40" s="65">
        <f>D41-1</f>
        <v>314</v>
      </c>
      <c r="E40" s="67">
        <v>2</v>
      </c>
      <c r="F40" s="60" t="s">
        <v>53</v>
      </c>
      <c r="G40" s="62" t="s">
        <v>57</v>
      </c>
      <c r="H40" s="60" t="s">
        <v>23</v>
      </c>
      <c r="I40" s="60" t="s">
        <v>24</v>
      </c>
      <c r="J40" s="87"/>
    </row>
    <row r="41" s="26" customFormat="1" spans="1:10">
      <c r="A41" s="66">
        <f>F2</f>
        <v>20</v>
      </c>
      <c r="B41" s="62" t="s">
        <v>72</v>
      </c>
      <c r="C41" s="59" t="s">
        <v>20</v>
      </c>
      <c r="D41" s="65">
        <f>D37+F2-1</f>
        <v>315</v>
      </c>
      <c r="E41" s="67">
        <v>2</v>
      </c>
      <c r="F41" s="60" t="s">
        <v>53</v>
      </c>
      <c r="G41" s="62" t="s">
        <v>57</v>
      </c>
      <c r="H41" s="60" t="s">
        <v>23</v>
      </c>
      <c r="I41" s="60" t="s">
        <v>24</v>
      </c>
      <c r="J41" s="87"/>
    </row>
    <row r="42" s="26" customFormat="1" spans="1:10">
      <c r="A42" s="66"/>
      <c r="B42" s="62"/>
      <c r="C42" s="59"/>
      <c r="D42" s="65"/>
      <c r="E42" s="67"/>
      <c r="F42" s="60"/>
      <c r="G42" s="62"/>
      <c r="H42" s="60"/>
      <c r="I42" s="60"/>
      <c r="J42" s="87"/>
    </row>
    <row r="43" s="26" customFormat="1" spans="1:10">
      <c r="A43" s="63" t="s">
        <v>73</v>
      </c>
      <c r="B43" s="64"/>
      <c r="C43" s="64"/>
      <c r="D43" s="64"/>
      <c r="E43" s="64"/>
      <c r="F43" s="64"/>
      <c r="G43" s="64"/>
      <c r="H43" s="64"/>
      <c r="I43" s="64"/>
      <c r="J43" s="88"/>
    </row>
    <row r="44" s="26" customFormat="1" ht="84" spans="1:10">
      <c r="A44" s="68">
        <v>1</v>
      </c>
      <c r="B44" s="53" t="s">
        <v>74</v>
      </c>
      <c r="C44" s="69" t="s">
        <v>20</v>
      </c>
      <c r="D44" s="70">
        <f>D41+1</f>
        <v>316</v>
      </c>
      <c r="E44" s="71">
        <v>2</v>
      </c>
      <c r="F44" s="72" t="s">
        <v>53</v>
      </c>
      <c r="G44" s="53" t="s">
        <v>75</v>
      </c>
      <c r="H44" s="72" t="s">
        <v>23</v>
      </c>
      <c r="I44" s="72" t="s">
        <v>24</v>
      </c>
      <c r="J44" s="89"/>
    </row>
    <row r="45" s="26" customFormat="1" spans="1:10">
      <c r="A45" s="68">
        <v>2</v>
      </c>
      <c r="B45" s="53" t="s">
        <v>76</v>
      </c>
      <c r="C45" s="69" t="s">
        <v>20</v>
      </c>
      <c r="D45" s="70">
        <f>D44+1</f>
        <v>317</v>
      </c>
      <c r="E45" s="71">
        <v>2</v>
      </c>
      <c r="F45" s="72" t="s">
        <v>53</v>
      </c>
      <c r="G45" s="53" t="s">
        <v>57</v>
      </c>
      <c r="H45" s="72" t="s">
        <v>23</v>
      </c>
      <c r="I45" s="72" t="s">
        <v>24</v>
      </c>
      <c r="J45" s="89"/>
    </row>
    <row r="46" s="26" customFormat="1" spans="1:10">
      <c r="A46" s="73" t="s">
        <v>58</v>
      </c>
      <c r="B46" s="69" t="s">
        <v>58</v>
      </c>
      <c r="C46" s="69"/>
      <c r="D46" s="72" t="s">
        <v>58</v>
      </c>
      <c r="E46" s="72" t="s">
        <v>58</v>
      </c>
      <c r="F46" s="72" t="s">
        <v>58</v>
      </c>
      <c r="G46" s="74" t="s">
        <v>58</v>
      </c>
      <c r="H46" s="72" t="s">
        <v>58</v>
      </c>
      <c r="I46" s="72" t="s">
        <v>58</v>
      </c>
      <c r="J46" s="89"/>
    </row>
    <row r="47" s="26" customFormat="1" spans="1:10">
      <c r="A47" s="68">
        <f>F2-1</f>
        <v>19</v>
      </c>
      <c r="B47" s="53" t="s">
        <v>77</v>
      </c>
      <c r="C47" s="69" t="s">
        <v>20</v>
      </c>
      <c r="D47" s="70">
        <f>D48-1</f>
        <v>334</v>
      </c>
      <c r="E47" s="71">
        <v>2</v>
      </c>
      <c r="F47" s="72" t="s">
        <v>53</v>
      </c>
      <c r="G47" s="53" t="s">
        <v>57</v>
      </c>
      <c r="H47" s="72" t="s">
        <v>23</v>
      </c>
      <c r="I47" s="72" t="s">
        <v>24</v>
      </c>
      <c r="J47" s="89"/>
    </row>
    <row r="48" s="26" customFormat="1" spans="1:10">
      <c r="A48" s="68">
        <f>F2</f>
        <v>20</v>
      </c>
      <c r="B48" s="53" t="s">
        <v>78</v>
      </c>
      <c r="C48" s="69" t="s">
        <v>20</v>
      </c>
      <c r="D48" s="70">
        <f>D44+F2-1</f>
        <v>335</v>
      </c>
      <c r="E48" s="71">
        <v>2</v>
      </c>
      <c r="F48" s="72" t="s">
        <v>53</v>
      </c>
      <c r="G48" s="53" t="s">
        <v>57</v>
      </c>
      <c r="H48" s="72" t="s">
        <v>23</v>
      </c>
      <c r="I48" s="72" t="s">
        <v>24</v>
      </c>
      <c r="J48" s="89"/>
    </row>
    <row r="49" s="26" customFormat="1" spans="1:10">
      <c r="A49" s="66"/>
      <c r="B49" s="62"/>
      <c r="C49" s="62"/>
      <c r="D49" s="67"/>
      <c r="E49" s="67"/>
      <c r="F49" s="67"/>
      <c r="G49" s="62"/>
      <c r="H49" s="67"/>
      <c r="I49" s="67"/>
      <c r="J49" s="87"/>
    </row>
    <row r="50" s="26" customFormat="1" spans="1:10">
      <c r="A50" s="75" t="s">
        <v>79</v>
      </c>
      <c r="B50" s="76"/>
      <c r="C50" s="76"/>
      <c r="D50" s="76"/>
      <c r="E50" s="76"/>
      <c r="F50" s="76"/>
      <c r="G50" s="76"/>
      <c r="H50" s="76"/>
      <c r="I50" s="76"/>
      <c r="J50" s="90"/>
    </row>
    <row r="51" s="26" customFormat="1" spans="1:10">
      <c r="A51" s="66">
        <v>1</v>
      </c>
      <c r="B51" s="77" t="s">
        <v>80</v>
      </c>
      <c r="C51" s="59" t="s">
        <v>20</v>
      </c>
      <c r="D51" s="67">
        <v>1024</v>
      </c>
      <c r="E51" s="67">
        <v>2</v>
      </c>
      <c r="F51" s="67" t="s">
        <v>21</v>
      </c>
      <c r="G51" s="78" t="s">
        <v>81</v>
      </c>
      <c r="H51" s="67" t="s">
        <v>23</v>
      </c>
      <c r="I51" s="67" t="s">
        <v>24</v>
      </c>
      <c r="J51" s="87" t="s">
        <v>82</v>
      </c>
    </row>
    <row r="52" s="26" customFormat="1" spans="1:10">
      <c r="A52" s="66">
        <v>2</v>
      </c>
      <c r="B52" s="77" t="s">
        <v>83</v>
      </c>
      <c r="C52" s="59" t="s">
        <v>20</v>
      </c>
      <c r="D52" s="67">
        <v>1025</v>
      </c>
      <c r="E52" s="67">
        <v>2</v>
      </c>
      <c r="F52" s="67" t="s">
        <v>21</v>
      </c>
      <c r="G52" s="78" t="s">
        <v>81</v>
      </c>
      <c r="H52" s="67" t="s">
        <v>23</v>
      </c>
      <c r="I52" s="67" t="s">
        <v>24</v>
      </c>
      <c r="J52" s="87"/>
    </row>
    <row r="53" s="26" customFormat="1" spans="1:10">
      <c r="A53" s="66">
        <v>3</v>
      </c>
      <c r="B53" s="61" t="s">
        <v>84</v>
      </c>
      <c r="C53" s="59" t="s">
        <v>20</v>
      </c>
      <c r="D53" s="67">
        <v>1026</v>
      </c>
      <c r="E53" s="60">
        <v>2</v>
      </c>
      <c r="F53" s="67" t="s">
        <v>85</v>
      </c>
      <c r="G53" s="61" t="s">
        <v>86</v>
      </c>
      <c r="H53" s="60" t="s">
        <v>23</v>
      </c>
      <c r="I53" s="67" t="s">
        <v>24</v>
      </c>
      <c r="J53" s="87"/>
    </row>
    <row r="54" s="26" customFormat="1" spans="1:10">
      <c r="A54" s="66">
        <v>4</v>
      </c>
      <c r="B54" s="62" t="s">
        <v>87</v>
      </c>
      <c r="C54" s="59" t="s">
        <v>20</v>
      </c>
      <c r="D54" s="67">
        <v>1027</v>
      </c>
      <c r="E54" s="67">
        <v>4</v>
      </c>
      <c r="F54" s="67" t="s">
        <v>21</v>
      </c>
      <c r="G54" s="62" t="s">
        <v>88</v>
      </c>
      <c r="H54" s="60" t="s">
        <v>23</v>
      </c>
      <c r="I54" s="67" t="s">
        <v>24</v>
      </c>
      <c r="J54" s="87"/>
    </row>
    <row r="55" s="26" customFormat="1" spans="1:10">
      <c r="A55" s="66">
        <v>5</v>
      </c>
      <c r="B55" s="62" t="s">
        <v>89</v>
      </c>
      <c r="C55" s="59" t="s">
        <v>20</v>
      </c>
      <c r="D55" s="67">
        <v>1029</v>
      </c>
      <c r="E55" s="67">
        <v>4</v>
      </c>
      <c r="F55" s="67" t="s">
        <v>21</v>
      </c>
      <c r="G55" s="62" t="s">
        <v>88</v>
      </c>
      <c r="H55" s="67" t="s">
        <v>23</v>
      </c>
      <c r="I55" s="67" t="s">
        <v>24</v>
      </c>
      <c r="J55" s="87"/>
    </row>
    <row r="56" s="26" customFormat="1" spans="1:10">
      <c r="A56" s="66">
        <v>6</v>
      </c>
      <c r="B56" s="62" t="s">
        <v>90</v>
      </c>
      <c r="C56" s="59" t="s">
        <v>20</v>
      </c>
      <c r="D56" s="67">
        <v>1031</v>
      </c>
      <c r="E56" s="67">
        <v>4</v>
      </c>
      <c r="F56" s="67" t="s">
        <v>21</v>
      </c>
      <c r="G56" s="62" t="s">
        <v>88</v>
      </c>
      <c r="H56" s="67" t="s">
        <v>23</v>
      </c>
      <c r="I56" s="67" t="s">
        <v>24</v>
      </c>
      <c r="J56" s="87"/>
    </row>
    <row r="57" s="26" customFormat="1" spans="1:10">
      <c r="A57" s="66">
        <v>7</v>
      </c>
      <c r="B57" s="62" t="s">
        <v>91</v>
      </c>
      <c r="C57" s="59" t="s">
        <v>20</v>
      </c>
      <c r="D57" s="67">
        <v>1033</v>
      </c>
      <c r="E57" s="67">
        <v>4</v>
      </c>
      <c r="F57" s="67" t="s">
        <v>21</v>
      </c>
      <c r="G57" s="62" t="s">
        <v>88</v>
      </c>
      <c r="H57" s="67" t="s">
        <v>23</v>
      </c>
      <c r="I57" s="67" t="s">
        <v>24</v>
      </c>
      <c r="J57" s="87"/>
    </row>
    <row r="58" s="26" customFormat="1" spans="1:10">
      <c r="A58" s="66">
        <v>8</v>
      </c>
      <c r="B58" s="62" t="s">
        <v>92</v>
      </c>
      <c r="C58" s="59" t="s">
        <v>20</v>
      </c>
      <c r="D58" s="67">
        <v>1035</v>
      </c>
      <c r="E58" s="67">
        <v>4</v>
      </c>
      <c r="F58" s="67" t="s">
        <v>21</v>
      </c>
      <c r="G58" s="62" t="s">
        <v>88</v>
      </c>
      <c r="H58" s="67" t="s">
        <v>23</v>
      </c>
      <c r="I58" s="67" t="s">
        <v>24</v>
      </c>
      <c r="J58" s="87"/>
    </row>
    <row r="59" s="26" customFormat="1" spans="1:10">
      <c r="A59" s="66">
        <v>9</v>
      </c>
      <c r="B59" s="62" t="s">
        <v>93</v>
      </c>
      <c r="C59" s="59" t="s">
        <v>20</v>
      </c>
      <c r="D59" s="67">
        <v>1037</v>
      </c>
      <c r="E59" s="67">
        <v>4</v>
      </c>
      <c r="F59" s="67" t="s">
        <v>21</v>
      </c>
      <c r="G59" s="62" t="s">
        <v>94</v>
      </c>
      <c r="H59" s="67" t="s">
        <v>23</v>
      </c>
      <c r="I59" s="67" t="s">
        <v>24</v>
      </c>
      <c r="J59" s="87"/>
    </row>
    <row r="60" s="26" customFormat="1" spans="1:10">
      <c r="A60" s="66">
        <v>10</v>
      </c>
      <c r="B60" s="62" t="s">
        <v>95</v>
      </c>
      <c r="C60" s="59" t="s">
        <v>20</v>
      </c>
      <c r="D60" s="67">
        <v>1039</v>
      </c>
      <c r="E60" s="67">
        <v>4</v>
      </c>
      <c r="F60" s="67" t="s">
        <v>21</v>
      </c>
      <c r="G60" s="62" t="s">
        <v>94</v>
      </c>
      <c r="H60" s="67" t="s">
        <v>23</v>
      </c>
      <c r="I60" s="67" t="s">
        <v>24</v>
      </c>
      <c r="J60" s="87"/>
    </row>
    <row r="61" s="26" customFormat="1" spans="1:10">
      <c r="A61" s="66">
        <v>11</v>
      </c>
      <c r="B61" s="62" t="s">
        <v>96</v>
      </c>
      <c r="C61" s="59" t="s">
        <v>20</v>
      </c>
      <c r="D61" s="67">
        <v>1041</v>
      </c>
      <c r="E61" s="67">
        <v>4</v>
      </c>
      <c r="F61" s="67" t="s">
        <v>21</v>
      </c>
      <c r="G61" s="62" t="s">
        <v>94</v>
      </c>
      <c r="H61" s="67" t="s">
        <v>23</v>
      </c>
      <c r="I61" s="67" t="s">
        <v>24</v>
      </c>
      <c r="J61" s="87"/>
    </row>
    <row r="62" s="26" customFormat="1" spans="1:10">
      <c r="A62" s="66">
        <v>12</v>
      </c>
      <c r="B62" s="62" t="s">
        <v>97</v>
      </c>
      <c r="C62" s="59" t="s">
        <v>20</v>
      </c>
      <c r="D62" s="67">
        <v>1043</v>
      </c>
      <c r="E62" s="67">
        <v>4</v>
      </c>
      <c r="F62" s="67" t="s">
        <v>21</v>
      </c>
      <c r="G62" s="62" t="s">
        <v>94</v>
      </c>
      <c r="H62" s="67" t="s">
        <v>23</v>
      </c>
      <c r="I62" s="67" t="s">
        <v>24</v>
      </c>
      <c r="J62" s="87"/>
    </row>
    <row r="63" s="26" customFormat="1" spans="1:10">
      <c r="A63" s="66">
        <v>13</v>
      </c>
      <c r="B63" s="62" t="s">
        <v>98</v>
      </c>
      <c r="C63" s="59" t="s">
        <v>20</v>
      </c>
      <c r="D63" s="67">
        <v>1045</v>
      </c>
      <c r="E63" s="67">
        <v>4</v>
      </c>
      <c r="F63" s="67" t="s">
        <v>21</v>
      </c>
      <c r="G63" s="62" t="s">
        <v>94</v>
      </c>
      <c r="H63" s="67" t="s">
        <v>23</v>
      </c>
      <c r="I63" s="67" t="s">
        <v>24</v>
      </c>
      <c r="J63" s="87"/>
    </row>
    <row r="64" s="26" customFormat="1" spans="1:10">
      <c r="A64" s="66">
        <v>14</v>
      </c>
      <c r="B64" s="62" t="s">
        <v>99</v>
      </c>
      <c r="C64" s="59" t="s">
        <v>20</v>
      </c>
      <c r="D64" s="67">
        <v>1047</v>
      </c>
      <c r="E64" s="67">
        <v>4</v>
      </c>
      <c r="F64" s="67" t="s">
        <v>21</v>
      </c>
      <c r="G64" s="62" t="s">
        <v>100</v>
      </c>
      <c r="H64" s="67" t="s">
        <v>23</v>
      </c>
      <c r="I64" s="67" t="s">
        <v>24</v>
      </c>
      <c r="J64" s="87"/>
    </row>
    <row r="65" s="26" customFormat="1" spans="1:10">
      <c r="A65" s="66">
        <v>15</v>
      </c>
      <c r="B65" s="62" t="s">
        <v>101</v>
      </c>
      <c r="C65" s="59" t="s">
        <v>20</v>
      </c>
      <c r="D65" s="67">
        <v>1049</v>
      </c>
      <c r="E65" s="67">
        <v>4</v>
      </c>
      <c r="F65" s="67" t="s">
        <v>21</v>
      </c>
      <c r="G65" s="62" t="s">
        <v>100</v>
      </c>
      <c r="H65" s="67" t="s">
        <v>23</v>
      </c>
      <c r="I65" s="67" t="s">
        <v>24</v>
      </c>
      <c r="J65" s="87"/>
    </row>
    <row r="66" s="26" customFormat="1" spans="1:10">
      <c r="A66" s="66">
        <v>16</v>
      </c>
      <c r="B66" s="62" t="s">
        <v>102</v>
      </c>
      <c r="C66" s="59" t="s">
        <v>20</v>
      </c>
      <c r="D66" s="67">
        <v>1051</v>
      </c>
      <c r="E66" s="67">
        <v>4</v>
      </c>
      <c r="F66" s="67" t="s">
        <v>21</v>
      </c>
      <c r="G66" s="62" t="s">
        <v>100</v>
      </c>
      <c r="H66" s="67" t="s">
        <v>23</v>
      </c>
      <c r="I66" s="67" t="s">
        <v>24</v>
      </c>
      <c r="J66" s="87"/>
    </row>
    <row r="67" s="26" customFormat="1" spans="1:10">
      <c r="A67" s="66">
        <v>17</v>
      </c>
      <c r="B67" s="62" t="s">
        <v>103</v>
      </c>
      <c r="C67" s="59" t="s">
        <v>20</v>
      </c>
      <c r="D67" s="67">
        <v>1053</v>
      </c>
      <c r="E67" s="67">
        <v>4</v>
      </c>
      <c r="F67" s="67" t="s">
        <v>21</v>
      </c>
      <c r="G67" s="62" t="s">
        <v>100</v>
      </c>
      <c r="H67" s="67" t="s">
        <v>23</v>
      </c>
      <c r="I67" s="67" t="s">
        <v>24</v>
      </c>
      <c r="J67" s="87"/>
    </row>
    <row r="68" s="26" customFormat="1" spans="1:10">
      <c r="A68" s="66">
        <v>18</v>
      </c>
      <c r="B68" s="62" t="s">
        <v>104</v>
      </c>
      <c r="C68" s="59" t="s">
        <v>20</v>
      </c>
      <c r="D68" s="67">
        <v>1055</v>
      </c>
      <c r="E68" s="67">
        <v>4</v>
      </c>
      <c r="F68" s="67" t="s">
        <v>21</v>
      </c>
      <c r="G68" s="62" t="s">
        <v>105</v>
      </c>
      <c r="H68" s="67" t="s">
        <v>23</v>
      </c>
      <c r="I68" s="67" t="s">
        <v>24</v>
      </c>
      <c r="J68" s="87"/>
    </row>
    <row r="69" s="26" customFormat="1" spans="1:10">
      <c r="A69" s="66">
        <v>19</v>
      </c>
      <c r="B69" s="62" t="s">
        <v>106</v>
      </c>
      <c r="C69" s="59" t="s">
        <v>20</v>
      </c>
      <c r="D69" s="67">
        <v>1057</v>
      </c>
      <c r="E69" s="67">
        <v>4</v>
      </c>
      <c r="F69" s="67" t="s">
        <v>21</v>
      </c>
      <c r="G69" s="62" t="s">
        <v>105</v>
      </c>
      <c r="H69" s="67" t="s">
        <v>23</v>
      </c>
      <c r="I69" s="67" t="s">
        <v>24</v>
      </c>
      <c r="J69" s="87"/>
    </row>
    <row r="70" s="26" customFormat="1" spans="1:10">
      <c r="A70" s="66">
        <v>20</v>
      </c>
      <c r="B70" s="62" t="s">
        <v>107</v>
      </c>
      <c r="C70" s="59" t="s">
        <v>20</v>
      </c>
      <c r="D70" s="67">
        <v>1059</v>
      </c>
      <c r="E70" s="67">
        <v>4</v>
      </c>
      <c r="F70" s="67" t="s">
        <v>21</v>
      </c>
      <c r="G70" s="62" t="s">
        <v>108</v>
      </c>
      <c r="H70" s="67" t="s">
        <v>23</v>
      </c>
      <c r="I70" s="67" t="s">
        <v>24</v>
      </c>
      <c r="J70" s="87"/>
    </row>
    <row r="71" s="26" customFormat="1" spans="1:10">
      <c r="A71" s="66">
        <v>21</v>
      </c>
      <c r="B71" s="62" t="s">
        <v>109</v>
      </c>
      <c r="C71" s="59" t="s">
        <v>20</v>
      </c>
      <c r="D71" s="67">
        <v>1061</v>
      </c>
      <c r="E71" s="67">
        <v>4</v>
      </c>
      <c r="F71" s="67" t="s">
        <v>21</v>
      </c>
      <c r="G71" s="62" t="s">
        <v>108</v>
      </c>
      <c r="H71" s="67" t="s">
        <v>23</v>
      </c>
      <c r="I71" s="67" t="s">
        <v>24</v>
      </c>
      <c r="J71" s="87"/>
    </row>
    <row r="72" s="26" customFormat="1" spans="1:10">
      <c r="A72" s="66">
        <v>22</v>
      </c>
      <c r="B72" s="62" t="s">
        <v>110</v>
      </c>
      <c r="C72" s="59" t="s">
        <v>20</v>
      </c>
      <c r="D72" s="67">
        <v>1063</v>
      </c>
      <c r="E72" s="67">
        <v>4</v>
      </c>
      <c r="F72" s="67" t="s">
        <v>21</v>
      </c>
      <c r="G72" s="62" t="s">
        <v>108</v>
      </c>
      <c r="H72" s="67" t="s">
        <v>23</v>
      </c>
      <c r="I72" s="67" t="s">
        <v>24</v>
      </c>
      <c r="J72" s="87"/>
    </row>
    <row r="73" s="26" customFormat="1" spans="1:10">
      <c r="A73" s="66">
        <v>23</v>
      </c>
      <c r="B73" s="62" t="s">
        <v>111</v>
      </c>
      <c r="C73" s="59" t="s">
        <v>20</v>
      </c>
      <c r="D73" s="67">
        <v>1065</v>
      </c>
      <c r="E73" s="67">
        <v>4</v>
      </c>
      <c r="F73" s="67" t="s">
        <v>21</v>
      </c>
      <c r="G73" s="62" t="s">
        <v>108</v>
      </c>
      <c r="H73" s="67" t="s">
        <v>23</v>
      </c>
      <c r="I73" s="67" t="s">
        <v>24</v>
      </c>
      <c r="J73" s="87"/>
    </row>
    <row r="74" s="26" customFormat="1" spans="1:10">
      <c r="A74" s="66"/>
      <c r="B74" s="62"/>
      <c r="C74" s="62"/>
      <c r="D74" s="67"/>
      <c r="E74" s="67"/>
      <c r="F74" s="67"/>
      <c r="G74" s="67"/>
      <c r="H74" s="67"/>
      <c r="I74" s="67"/>
      <c r="J74" s="87"/>
    </row>
    <row r="75" s="26" customFormat="1" spans="1:10">
      <c r="A75" s="63" t="s">
        <v>112</v>
      </c>
      <c r="B75" s="64"/>
      <c r="C75" s="64"/>
      <c r="D75" s="64"/>
      <c r="E75" s="64"/>
      <c r="F75" s="64"/>
      <c r="G75" s="64"/>
      <c r="H75" s="64"/>
      <c r="I75" s="64"/>
      <c r="J75" s="88"/>
    </row>
    <row r="76" s="26" customFormat="1" spans="1:10">
      <c r="A76" s="91">
        <v>1</v>
      </c>
      <c r="B76" s="57" t="s">
        <v>113</v>
      </c>
      <c r="C76" s="92" t="s">
        <v>20</v>
      </c>
      <c r="D76" s="65">
        <v>1274</v>
      </c>
      <c r="E76" s="65">
        <v>4</v>
      </c>
      <c r="F76" s="65" t="s">
        <v>21</v>
      </c>
      <c r="G76" s="93" t="s">
        <v>114</v>
      </c>
      <c r="H76" s="65" t="s">
        <v>23</v>
      </c>
      <c r="I76" s="65" t="s">
        <v>24</v>
      </c>
      <c r="J76" s="109" t="s">
        <v>115</v>
      </c>
    </row>
    <row r="77" s="26" customFormat="1" spans="1:10">
      <c r="A77" s="91">
        <v>2</v>
      </c>
      <c r="B77" s="57" t="s">
        <v>116</v>
      </c>
      <c r="C77" s="92" t="s">
        <v>20</v>
      </c>
      <c r="D77" s="65">
        <v>1276</v>
      </c>
      <c r="E77" s="65">
        <v>4</v>
      </c>
      <c r="F77" s="65" t="s">
        <v>21</v>
      </c>
      <c r="G77" s="93" t="s">
        <v>57</v>
      </c>
      <c r="H77" s="65" t="s">
        <v>23</v>
      </c>
      <c r="I77" s="65" t="s">
        <v>24</v>
      </c>
      <c r="J77" s="109"/>
    </row>
    <row r="78" s="26" customFormat="1" spans="1:10">
      <c r="A78" s="91">
        <v>3</v>
      </c>
      <c r="B78" s="57" t="s">
        <v>117</v>
      </c>
      <c r="C78" s="92" t="s">
        <v>20</v>
      </c>
      <c r="D78" s="65">
        <v>1278</v>
      </c>
      <c r="E78" s="65">
        <v>4</v>
      </c>
      <c r="F78" s="65" t="s">
        <v>21</v>
      </c>
      <c r="G78" s="93" t="s">
        <v>57</v>
      </c>
      <c r="H78" s="65" t="s">
        <v>23</v>
      </c>
      <c r="I78" s="65" t="s">
        <v>24</v>
      </c>
      <c r="J78" s="109"/>
    </row>
    <row r="79" s="26" customFormat="1" spans="1:10">
      <c r="A79" s="66">
        <v>4</v>
      </c>
      <c r="B79" s="62" t="s">
        <v>118</v>
      </c>
      <c r="C79" s="59" t="s">
        <v>20</v>
      </c>
      <c r="D79" s="67">
        <v>1280</v>
      </c>
      <c r="E79" s="67">
        <v>4</v>
      </c>
      <c r="F79" s="67" t="s">
        <v>21</v>
      </c>
      <c r="G79" s="62" t="s">
        <v>114</v>
      </c>
      <c r="H79" s="67" t="s">
        <v>23</v>
      </c>
      <c r="I79" s="67" t="s">
        <v>24</v>
      </c>
      <c r="J79" s="87" t="s">
        <v>119</v>
      </c>
    </row>
    <row r="80" s="26" customFormat="1" spans="1:10">
      <c r="A80" s="66">
        <f>A79+1</f>
        <v>5</v>
      </c>
      <c r="B80" s="62" t="s">
        <v>120</v>
      </c>
      <c r="C80" s="59" t="s">
        <v>20</v>
      </c>
      <c r="D80" s="67">
        <v>1282</v>
      </c>
      <c r="E80" s="67">
        <v>4</v>
      </c>
      <c r="F80" s="67" t="s">
        <v>21</v>
      </c>
      <c r="G80" s="62" t="s">
        <v>57</v>
      </c>
      <c r="H80" s="67" t="s">
        <v>23</v>
      </c>
      <c r="I80" s="67" t="s">
        <v>24</v>
      </c>
      <c r="J80" s="87"/>
    </row>
    <row r="81" s="26" customFormat="1" spans="1:10">
      <c r="A81" s="66">
        <f>A79+2</f>
        <v>6</v>
      </c>
      <c r="B81" s="62" t="s">
        <v>121</v>
      </c>
      <c r="C81" s="59" t="s">
        <v>20</v>
      </c>
      <c r="D81" s="67">
        <v>1284</v>
      </c>
      <c r="E81" s="67">
        <v>4</v>
      </c>
      <c r="F81" s="67" t="s">
        <v>21</v>
      </c>
      <c r="G81" s="62" t="s">
        <v>57</v>
      </c>
      <c r="H81" s="67" t="s">
        <v>23</v>
      </c>
      <c r="I81" s="67" t="s">
        <v>24</v>
      </c>
      <c r="J81" s="87"/>
    </row>
    <row r="82" s="26" customFormat="1" spans="1:10">
      <c r="A82" s="58" t="s">
        <v>58</v>
      </c>
      <c r="B82" s="59" t="s">
        <v>58</v>
      </c>
      <c r="C82" s="59"/>
      <c r="D82" s="60" t="s">
        <v>58</v>
      </c>
      <c r="E82" s="60" t="s">
        <v>58</v>
      </c>
      <c r="F82" s="60" t="s">
        <v>58</v>
      </c>
      <c r="G82" s="61" t="s">
        <v>58</v>
      </c>
      <c r="H82" s="60" t="s">
        <v>58</v>
      </c>
      <c r="I82" s="60" t="s">
        <v>58</v>
      </c>
      <c r="J82" s="87"/>
    </row>
    <row r="83" s="26" customFormat="1" spans="1:10">
      <c r="A83" s="66">
        <f>A84-1</f>
        <v>23</v>
      </c>
      <c r="B83" s="62" t="s">
        <v>122</v>
      </c>
      <c r="C83" s="59" t="s">
        <v>20</v>
      </c>
      <c r="D83" s="67">
        <f>D84-2</f>
        <v>1318</v>
      </c>
      <c r="E83" s="67">
        <v>4</v>
      </c>
      <c r="F83" s="67" t="s">
        <v>21</v>
      </c>
      <c r="G83" s="62" t="s">
        <v>57</v>
      </c>
      <c r="H83" s="67" t="s">
        <v>23</v>
      </c>
      <c r="I83" s="67" t="s">
        <v>24</v>
      </c>
      <c r="J83" s="87"/>
    </row>
    <row r="84" s="26" customFormat="1" spans="1:10">
      <c r="A84" s="66">
        <f>A79+F2</f>
        <v>24</v>
      </c>
      <c r="B84" s="62" t="s">
        <v>123</v>
      </c>
      <c r="C84" s="59" t="s">
        <v>20</v>
      </c>
      <c r="D84" s="67">
        <f>D79+F2*2</f>
        <v>1320</v>
      </c>
      <c r="E84" s="67">
        <v>4</v>
      </c>
      <c r="F84" s="67" t="s">
        <v>21</v>
      </c>
      <c r="G84" s="62" t="s">
        <v>57</v>
      </c>
      <c r="H84" s="67" t="s">
        <v>23</v>
      </c>
      <c r="I84" s="67" t="s">
        <v>24</v>
      </c>
      <c r="J84" s="87"/>
    </row>
    <row r="85" s="26" customFormat="1" spans="1:10">
      <c r="A85" s="66"/>
      <c r="B85" s="62"/>
      <c r="C85" s="59"/>
      <c r="D85" s="67"/>
      <c r="E85" s="67"/>
      <c r="F85" s="67"/>
      <c r="G85" s="67"/>
      <c r="H85" s="67"/>
      <c r="I85" s="67"/>
      <c r="J85" s="87"/>
    </row>
    <row r="86" s="26" customFormat="1" spans="1:10">
      <c r="A86" s="63" t="s">
        <v>124</v>
      </c>
      <c r="B86" s="64"/>
      <c r="C86" s="64"/>
      <c r="D86" s="64"/>
      <c r="E86" s="64"/>
      <c r="F86" s="64"/>
      <c r="G86" s="64"/>
      <c r="H86" s="64"/>
      <c r="I86" s="64"/>
      <c r="J86" s="88"/>
    </row>
    <row r="87" s="26" customFormat="1" spans="1:10">
      <c r="A87" s="94">
        <v>1</v>
      </c>
      <c r="B87" s="95" t="s">
        <v>125</v>
      </c>
      <c r="C87" s="96" t="s">
        <v>20</v>
      </c>
      <c r="D87" s="97">
        <v>2304</v>
      </c>
      <c r="E87" s="97">
        <v>2</v>
      </c>
      <c r="F87" s="97" t="s">
        <v>21</v>
      </c>
      <c r="G87" s="95" t="s">
        <v>126</v>
      </c>
      <c r="H87" s="97" t="s">
        <v>23</v>
      </c>
      <c r="I87" s="97" t="s">
        <v>24</v>
      </c>
      <c r="J87" s="110" t="s">
        <v>127</v>
      </c>
    </row>
    <row r="88" s="26" customFormat="1" spans="1:10">
      <c r="A88" s="94">
        <v>2</v>
      </c>
      <c r="B88" s="95" t="s">
        <v>128</v>
      </c>
      <c r="C88" s="96" t="s">
        <v>20</v>
      </c>
      <c r="D88" s="97">
        <v>2305</v>
      </c>
      <c r="E88" s="97">
        <v>2</v>
      </c>
      <c r="F88" s="97" t="s">
        <v>21</v>
      </c>
      <c r="G88" s="95" t="s">
        <v>129</v>
      </c>
      <c r="H88" s="97" t="s">
        <v>23</v>
      </c>
      <c r="I88" s="97" t="s">
        <v>24</v>
      </c>
      <c r="J88" s="110"/>
    </row>
    <row r="89" s="26" customFormat="1" spans="1:10">
      <c r="A89" s="94">
        <v>3</v>
      </c>
      <c r="B89" s="95" t="s">
        <v>130</v>
      </c>
      <c r="C89" s="96" t="s">
        <v>20</v>
      </c>
      <c r="D89" s="97">
        <v>2306</v>
      </c>
      <c r="E89" s="97">
        <v>2</v>
      </c>
      <c r="F89" s="97" t="s">
        <v>21</v>
      </c>
      <c r="G89" s="95" t="s">
        <v>131</v>
      </c>
      <c r="H89" s="97" t="s">
        <v>23</v>
      </c>
      <c r="I89" s="97" t="s">
        <v>24</v>
      </c>
      <c r="J89" s="110"/>
    </row>
    <row r="90" s="26" customFormat="1" spans="1:10">
      <c r="A90" s="94">
        <v>4</v>
      </c>
      <c r="B90" s="95" t="s">
        <v>132</v>
      </c>
      <c r="C90" s="96" t="s">
        <v>20</v>
      </c>
      <c r="D90" s="97">
        <v>2307</v>
      </c>
      <c r="E90" s="97">
        <v>2</v>
      </c>
      <c r="F90" s="97" t="s">
        <v>21</v>
      </c>
      <c r="G90" s="95" t="s">
        <v>133</v>
      </c>
      <c r="H90" s="97" t="s">
        <v>23</v>
      </c>
      <c r="I90" s="97" t="s">
        <v>24</v>
      </c>
      <c r="J90" s="110"/>
    </row>
    <row r="91" s="26" customFormat="1" spans="1:10">
      <c r="A91" s="94" t="s">
        <v>58</v>
      </c>
      <c r="B91" s="96" t="s">
        <v>58</v>
      </c>
      <c r="C91" s="96"/>
      <c r="D91" s="97" t="s">
        <v>58</v>
      </c>
      <c r="E91" s="97" t="s">
        <v>58</v>
      </c>
      <c r="F91" s="97" t="s">
        <v>58</v>
      </c>
      <c r="G91" s="95" t="s">
        <v>58</v>
      </c>
      <c r="H91" s="97" t="s">
        <v>58</v>
      </c>
      <c r="I91" s="97" t="s">
        <v>58</v>
      </c>
      <c r="J91" s="110"/>
    </row>
    <row r="92" s="26" customFormat="1" spans="1:10">
      <c r="A92" s="94">
        <f>A93-1</f>
        <v>77</v>
      </c>
      <c r="B92" s="95" t="s">
        <v>134</v>
      </c>
      <c r="C92" s="96" t="s">
        <v>20</v>
      </c>
      <c r="D92" s="97">
        <f>D93-1</f>
        <v>2380</v>
      </c>
      <c r="E92" s="97">
        <v>2</v>
      </c>
      <c r="F92" s="97" t="s">
        <v>21</v>
      </c>
      <c r="G92" s="95" t="s">
        <v>57</v>
      </c>
      <c r="H92" s="97" t="s">
        <v>23</v>
      </c>
      <c r="I92" s="97" t="s">
        <v>24</v>
      </c>
      <c r="J92" s="110"/>
    </row>
    <row r="93" s="26" customFormat="1" spans="1:10">
      <c r="A93" s="94">
        <f>A94-1</f>
        <v>78</v>
      </c>
      <c r="B93" s="95" t="s">
        <v>135</v>
      </c>
      <c r="C93" s="96" t="s">
        <v>20</v>
      </c>
      <c r="D93" s="97">
        <f>D94-1</f>
        <v>2381</v>
      </c>
      <c r="E93" s="97">
        <v>2</v>
      </c>
      <c r="F93" s="97" t="s">
        <v>21</v>
      </c>
      <c r="G93" s="95" t="s">
        <v>57</v>
      </c>
      <c r="H93" s="97" t="s">
        <v>23</v>
      </c>
      <c r="I93" s="97" t="s">
        <v>24</v>
      </c>
      <c r="J93" s="110"/>
    </row>
    <row r="94" s="26" customFormat="1" spans="1:10">
      <c r="A94" s="94">
        <f>A95-1</f>
        <v>79</v>
      </c>
      <c r="B94" s="95" t="s">
        <v>136</v>
      </c>
      <c r="C94" s="96" t="s">
        <v>20</v>
      </c>
      <c r="D94" s="97">
        <f>D95-1</f>
        <v>2382</v>
      </c>
      <c r="E94" s="97">
        <v>2</v>
      </c>
      <c r="F94" s="97" t="s">
        <v>21</v>
      </c>
      <c r="G94" s="95" t="s">
        <v>57</v>
      </c>
      <c r="H94" s="97" t="s">
        <v>23</v>
      </c>
      <c r="I94" s="97" t="s">
        <v>24</v>
      </c>
      <c r="J94" s="110"/>
    </row>
    <row r="95" s="26" customFormat="1" spans="1:10">
      <c r="A95" s="94">
        <f>F2*4</f>
        <v>80</v>
      </c>
      <c r="B95" s="95" t="s">
        <v>137</v>
      </c>
      <c r="C95" s="96" t="s">
        <v>20</v>
      </c>
      <c r="D95" s="97">
        <f>D87+F2*4-1</f>
        <v>2383</v>
      </c>
      <c r="E95" s="97">
        <v>2</v>
      </c>
      <c r="F95" s="97" t="s">
        <v>21</v>
      </c>
      <c r="G95" s="95" t="s">
        <v>57</v>
      </c>
      <c r="H95" s="97" t="s">
        <v>23</v>
      </c>
      <c r="I95" s="97" t="s">
        <v>24</v>
      </c>
      <c r="J95" s="110"/>
    </row>
    <row r="96" s="26" customFormat="1" spans="1:10">
      <c r="A96" s="66"/>
      <c r="B96" s="62"/>
      <c r="C96" s="62"/>
      <c r="D96" s="67"/>
      <c r="E96" s="67"/>
      <c r="F96" s="67"/>
      <c r="G96" s="62"/>
      <c r="H96" s="67"/>
      <c r="I96" s="67"/>
      <c r="J96" s="87"/>
    </row>
    <row r="97" s="26" customFormat="1" spans="1:10">
      <c r="A97" s="63" t="s">
        <v>138</v>
      </c>
      <c r="B97" s="64"/>
      <c r="C97" s="64"/>
      <c r="D97" s="64"/>
      <c r="E97" s="64"/>
      <c r="F97" s="64"/>
      <c r="G97" s="64"/>
      <c r="H97" s="64"/>
      <c r="I97" s="64"/>
      <c r="J97" s="88"/>
    </row>
    <row r="98" s="26" customFormat="1" spans="1:10">
      <c r="A98" s="94">
        <v>1</v>
      </c>
      <c r="B98" s="95" t="s">
        <v>139</v>
      </c>
      <c r="C98" s="95" t="s">
        <v>20</v>
      </c>
      <c r="D98" s="97">
        <v>2560</v>
      </c>
      <c r="E98" s="97">
        <v>2</v>
      </c>
      <c r="F98" s="97" t="s">
        <v>21</v>
      </c>
      <c r="G98" s="95" t="s">
        <v>140</v>
      </c>
      <c r="H98" s="97" t="s">
        <v>23</v>
      </c>
      <c r="I98" s="97" t="s">
        <v>24</v>
      </c>
      <c r="J98" s="110" t="s">
        <v>141</v>
      </c>
    </row>
    <row r="99" s="26" customFormat="1" spans="1:10">
      <c r="A99" s="94" t="s">
        <v>58</v>
      </c>
      <c r="B99" s="95" t="s">
        <v>58</v>
      </c>
      <c r="C99" s="95" t="s">
        <v>58</v>
      </c>
      <c r="D99" s="97" t="s">
        <v>58</v>
      </c>
      <c r="E99" s="97" t="s">
        <v>58</v>
      </c>
      <c r="F99" s="97" t="s">
        <v>58</v>
      </c>
      <c r="G99" s="95" t="s">
        <v>58</v>
      </c>
      <c r="H99" s="97" t="s">
        <v>23</v>
      </c>
      <c r="I99" s="97" t="s">
        <v>24</v>
      </c>
      <c r="J99" s="110"/>
    </row>
    <row r="100" s="26" customFormat="1" spans="1:10">
      <c r="A100" s="94">
        <f>F2</f>
        <v>20</v>
      </c>
      <c r="B100" s="95" t="s">
        <v>142</v>
      </c>
      <c r="C100" s="95" t="s">
        <v>20</v>
      </c>
      <c r="D100" s="97">
        <f>D98+F2-1</f>
        <v>2579</v>
      </c>
      <c r="E100" s="97">
        <v>2</v>
      </c>
      <c r="F100" s="97" t="s">
        <v>21</v>
      </c>
      <c r="G100" s="95" t="s">
        <v>57</v>
      </c>
      <c r="H100" s="97" t="s">
        <v>23</v>
      </c>
      <c r="I100" s="97" t="s">
        <v>24</v>
      </c>
      <c r="J100" s="110"/>
    </row>
    <row r="101" s="26" customFormat="1" spans="1:10">
      <c r="A101" s="63"/>
      <c r="B101" s="64"/>
      <c r="C101" s="64"/>
      <c r="D101" s="64"/>
      <c r="E101" s="64"/>
      <c r="F101" s="64"/>
      <c r="G101" s="64"/>
      <c r="H101" s="64"/>
      <c r="I101" s="64"/>
      <c r="J101" s="88"/>
    </row>
    <row r="102" s="26" customFormat="1" spans="1:10">
      <c r="A102" s="94">
        <v>1</v>
      </c>
      <c r="B102" s="95" t="s">
        <v>143</v>
      </c>
      <c r="C102" s="95" t="s">
        <v>20</v>
      </c>
      <c r="D102" s="97">
        <f>D100+1</f>
        <v>2580</v>
      </c>
      <c r="E102" s="97">
        <v>2</v>
      </c>
      <c r="F102" s="97" t="s">
        <v>21</v>
      </c>
      <c r="G102" s="95" t="s">
        <v>144</v>
      </c>
      <c r="H102" s="97" t="s">
        <v>23</v>
      </c>
      <c r="I102" s="97" t="s">
        <v>24</v>
      </c>
      <c r="J102" s="110"/>
    </row>
    <row r="103" s="26" customFormat="1" spans="1:10">
      <c r="A103" s="94">
        <v>2</v>
      </c>
      <c r="B103" s="95" t="s">
        <v>145</v>
      </c>
      <c r="C103" s="95" t="s">
        <v>20</v>
      </c>
      <c r="D103" s="97">
        <f>D102+1</f>
        <v>2581</v>
      </c>
      <c r="E103" s="97">
        <v>2</v>
      </c>
      <c r="F103" s="97" t="s">
        <v>21</v>
      </c>
      <c r="G103" s="95" t="s">
        <v>146</v>
      </c>
      <c r="H103" s="97" t="s">
        <v>23</v>
      </c>
      <c r="I103" s="97" t="s">
        <v>24</v>
      </c>
      <c r="J103" s="110"/>
    </row>
    <row r="104" s="26" customFormat="1" spans="1:10">
      <c r="A104" s="94" t="s">
        <v>58</v>
      </c>
      <c r="B104" s="95" t="s">
        <v>58</v>
      </c>
      <c r="C104" s="95" t="s">
        <v>58</v>
      </c>
      <c r="D104" s="97" t="s">
        <v>58</v>
      </c>
      <c r="E104" s="97" t="s">
        <v>58</v>
      </c>
      <c r="F104" s="97" t="s">
        <v>58</v>
      </c>
      <c r="G104" s="95" t="s">
        <v>58</v>
      </c>
      <c r="H104" s="97" t="s">
        <v>58</v>
      </c>
      <c r="I104" s="97" t="s">
        <v>58</v>
      </c>
      <c r="J104" s="110"/>
    </row>
    <row r="105" s="26" customFormat="1" spans="1:10">
      <c r="A105" s="94">
        <f>A106-1</f>
        <v>31</v>
      </c>
      <c r="B105" s="95" t="s">
        <v>147</v>
      </c>
      <c r="C105" s="95" t="s">
        <v>20</v>
      </c>
      <c r="D105" s="97">
        <f>D106-1</f>
        <v>2610</v>
      </c>
      <c r="E105" s="97">
        <v>2</v>
      </c>
      <c r="F105" s="97" t="s">
        <v>21</v>
      </c>
      <c r="G105" s="95" t="s">
        <v>148</v>
      </c>
      <c r="H105" s="97" t="s">
        <v>23</v>
      </c>
      <c r="I105" s="97" t="s">
        <v>24</v>
      </c>
      <c r="J105" s="110"/>
    </row>
    <row r="106" s="26" customFormat="1" spans="1:10">
      <c r="A106" s="94">
        <f>D2*2</f>
        <v>32</v>
      </c>
      <c r="B106" s="95" t="s">
        <v>149</v>
      </c>
      <c r="C106" s="95" t="s">
        <v>20</v>
      </c>
      <c r="D106" s="97">
        <f>D102+D2*2-1</f>
        <v>2611</v>
      </c>
      <c r="E106" s="97">
        <v>2</v>
      </c>
      <c r="F106" s="97" t="s">
        <v>21</v>
      </c>
      <c r="G106" s="95" t="s">
        <v>150</v>
      </c>
      <c r="H106" s="97" t="s">
        <v>23</v>
      </c>
      <c r="I106" s="97" t="s">
        <v>24</v>
      </c>
      <c r="J106" s="110"/>
    </row>
    <row r="107" s="26" customFormat="1" spans="1:10">
      <c r="A107" s="98" t="s">
        <v>58</v>
      </c>
      <c r="B107" s="99"/>
      <c r="C107" s="99"/>
      <c r="D107" s="99"/>
      <c r="E107" s="99"/>
      <c r="F107" s="99"/>
      <c r="G107" s="99"/>
      <c r="H107" s="99"/>
      <c r="I107" s="99"/>
      <c r="J107" s="111"/>
    </row>
    <row r="108" s="26" customFormat="1" spans="1:10">
      <c r="A108" s="100">
        <f>(F2-1)*D2*2+1</f>
        <v>609</v>
      </c>
      <c r="B108" s="101" t="s">
        <v>151</v>
      </c>
      <c r="C108" s="101" t="s">
        <v>20</v>
      </c>
      <c r="D108" s="102">
        <f>D102+(F2-1)*D2*2</f>
        <v>3188</v>
      </c>
      <c r="E108" s="102">
        <v>2</v>
      </c>
      <c r="F108" s="102" t="s">
        <v>21</v>
      </c>
      <c r="G108" s="101" t="s">
        <v>152</v>
      </c>
      <c r="H108" s="102" t="s">
        <v>23</v>
      </c>
      <c r="I108" s="102" t="s">
        <v>24</v>
      </c>
      <c r="J108" s="112"/>
    </row>
    <row r="109" s="26" customFormat="1" spans="1:10">
      <c r="A109" s="100">
        <f>A108+1</f>
        <v>610</v>
      </c>
      <c r="B109" s="101" t="s">
        <v>153</v>
      </c>
      <c r="C109" s="101" t="s">
        <v>20</v>
      </c>
      <c r="D109" s="102">
        <f>D108+1</f>
        <v>3189</v>
      </c>
      <c r="E109" s="102">
        <v>2</v>
      </c>
      <c r="F109" s="102" t="s">
        <v>21</v>
      </c>
      <c r="G109" s="101" t="s">
        <v>154</v>
      </c>
      <c r="H109" s="102" t="s">
        <v>23</v>
      </c>
      <c r="I109" s="102" t="s">
        <v>24</v>
      </c>
      <c r="J109" s="112"/>
    </row>
    <row r="110" s="26" customFormat="1" spans="1:10">
      <c r="A110" s="100" t="s">
        <v>58</v>
      </c>
      <c r="B110" s="101" t="s">
        <v>58</v>
      </c>
      <c r="C110" s="101" t="s">
        <v>58</v>
      </c>
      <c r="D110" s="102" t="s">
        <v>58</v>
      </c>
      <c r="E110" s="102" t="s">
        <v>58</v>
      </c>
      <c r="F110" s="102" t="s">
        <v>58</v>
      </c>
      <c r="G110" s="101" t="s">
        <v>58</v>
      </c>
      <c r="H110" s="102" t="s">
        <v>58</v>
      </c>
      <c r="I110" s="102" t="s">
        <v>58</v>
      </c>
      <c r="J110" s="112"/>
    </row>
    <row r="111" s="26" customFormat="1" spans="1:10">
      <c r="A111" s="100">
        <f>A112-1</f>
        <v>639</v>
      </c>
      <c r="B111" s="101" t="s">
        <v>155</v>
      </c>
      <c r="C111" s="101" t="s">
        <v>20</v>
      </c>
      <c r="D111" s="102">
        <f>D112-1</f>
        <v>3218</v>
      </c>
      <c r="E111" s="102">
        <v>2</v>
      </c>
      <c r="F111" s="102" t="s">
        <v>21</v>
      </c>
      <c r="G111" s="101" t="s">
        <v>156</v>
      </c>
      <c r="H111" s="102" t="s">
        <v>23</v>
      </c>
      <c r="I111" s="102" t="s">
        <v>24</v>
      </c>
      <c r="J111" s="112"/>
    </row>
    <row r="112" s="26" customFormat="1" spans="1:10">
      <c r="A112" s="100">
        <f>A108+D2*2-1</f>
        <v>640</v>
      </c>
      <c r="B112" s="101" t="s">
        <v>157</v>
      </c>
      <c r="C112" s="101" t="s">
        <v>20</v>
      </c>
      <c r="D112" s="102">
        <f>D102+F2*D2*2-1</f>
        <v>3219</v>
      </c>
      <c r="E112" s="102">
        <v>2</v>
      </c>
      <c r="F112" s="102" t="s">
        <v>21</v>
      </c>
      <c r="G112" s="101" t="s">
        <v>158</v>
      </c>
      <c r="H112" s="102" t="s">
        <v>23</v>
      </c>
      <c r="I112" s="102" t="s">
        <v>24</v>
      </c>
      <c r="J112" s="112"/>
    </row>
    <row r="113" s="26" customFormat="1" spans="1:10">
      <c r="A113" s="66"/>
      <c r="B113" s="62"/>
      <c r="C113" s="62"/>
      <c r="D113" s="67"/>
      <c r="E113" s="67"/>
      <c r="F113" s="67"/>
      <c r="G113" s="62"/>
      <c r="H113" s="67"/>
      <c r="I113" s="67"/>
      <c r="J113" s="87"/>
    </row>
    <row r="114" s="26" customFormat="1" spans="1:10">
      <c r="A114" s="63" t="s">
        <v>159</v>
      </c>
      <c r="B114" s="64"/>
      <c r="C114" s="64"/>
      <c r="D114" s="64"/>
      <c r="E114" s="64"/>
      <c r="F114" s="64"/>
      <c r="G114" s="64"/>
      <c r="H114" s="64"/>
      <c r="I114" s="64"/>
      <c r="J114" s="88"/>
    </row>
    <row r="115" s="26" customFormat="1" spans="1:10">
      <c r="A115" s="66">
        <v>1</v>
      </c>
      <c r="B115" s="62" t="s">
        <v>160</v>
      </c>
      <c r="C115" s="59" t="s">
        <v>20</v>
      </c>
      <c r="D115" s="67">
        <v>4096</v>
      </c>
      <c r="E115" s="67" t="s">
        <v>161</v>
      </c>
      <c r="F115" s="67" t="s">
        <v>21</v>
      </c>
      <c r="G115" s="62" t="s">
        <v>162</v>
      </c>
      <c r="H115" s="67" t="s">
        <v>163</v>
      </c>
      <c r="I115" s="67" t="s">
        <v>24</v>
      </c>
      <c r="J115" s="87" t="s">
        <v>164</v>
      </c>
    </row>
    <row r="116" s="26" customFormat="1" spans="1:10">
      <c r="A116" s="66"/>
      <c r="B116" s="62"/>
      <c r="C116" s="59"/>
      <c r="D116" s="67"/>
      <c r="E116" s="67"/>
      <c r="F116" s="67"/>
      <c r="G116" s="62"/>
      <c r="H116" s="67"/>
      <c r="I116" s="67"/>
      <c r="J116" s="87"/>
    </row>
    <row r="117" s="26" customFormat="1" spans="1:10">
      <c r="A117" s="63" t="s">
        <v>165</v>
      </c>
      <c r="B117" s="64"/>
      <c r="C117" s="64"/>
      <c r="D117" s="64"/>
      <c r="E117" s="64"/>
      <c r="F117" s="64"/>
      <c r="G117" s="64"/>
      <c r="H117" s="64"/>
      <c r="I117" s="64"/>
      <c r="J117" s="88"/>
    </row>
    <row r="118" s="26" customFormat="1" spans="1:10">
      <c r="A118" s="66">
        <v>1</v>
      </c>
      <c r="B118" s="62" t="s">
        <v>166</v>
      </c>
      <c r="C118" s="59" t="s">
        <v>20</v>
      </c>
      <c r="D118" s="67">
        <v>8192</v>
      </c>
      <c r="E118" s="67">
        <v>2</v>
      </c>
      <c r="F118" s="67" t="s">
        <v>21</v>
      </c>
      <c r="G118" s="62" t="s">
        <v>167</v>
      </c>
      <c r="H118" s="67" t="s">
        <v>23</v>
      </c>
      <c r="I118" s="67" t="s">
        <v>24</v>
      </c>
      <c r="J118" s="87" t="s">
        <v>168</v>
      </c>
    </row>
    <row r="119" s="26" customFormat="1" spans="1:10">
      <c r="A119" s="66">
        <v>2</v>
      </c>
      <c r="B119" s="62" t="s">
        <v>169</v>
      </c>
      <c r="C119" s="59" t="s">
        <v>20</v>
      </c>
      <c r="D119" s="67">
        <v>8193</v>
      </c>
      <c r="E119" s="67">
        <v>2</v>
      </c>
      <c r="F119" s="67" t="s">
        <v>21</v>
      </c>
      <c r="G119" s="62" t="s">
        <v>170</v>
      </c>
      <c r="H119" s="67" t="s">
        <v>23</v>
      </c>
      <c r="I119" s="67" t="s">
        <v>24</v>
      </c>
      <c r="J119" s="87"/>
    </row>
    <row r="120" s="26" customFormat="1" spans="1:10">
      <c r="A120" s="66">
        <v>3</v>
      </c>
      <c r="B120" s="62" t="s">
        <v>171</v>
      </c>
      <c r="C120" s="59" t="s">
        <v>20</v>
      </c>
      <c r="D120" s="67">
        <v>8194</v>
      </c>
      <c r="E120" s="67" t="s">
        <v>172</v>
      </c>
      <c r="F120" s="67" t="s">
        <v>173</v>
      </c>
      <c r="G120" s="62" t="s">
        <v>174</v>
      </c>
      <c r="H120" s="67" t="s">
        <v>23</v>
      </c>
      <c r="I120" s="67" t="s">
        <v>24</v>
      </c>
      <c r="J120" s="87"/>
    </row>
    <row r="121" s="26" customFormat="1" spans="1:10">
      <c r="A121" s="66"/>
      <c r="B121" s="62"/>
      <c r="C121" s="62"/>
      <c r="D121" s="67"/>
      <c r="E121" s="67"/>
      <c r="F121" s="67"/>
      <c r="G121" s="62"/>
      <c r="H121" s="67"/>
      <c r="I121" s="67"/>
      <c r="J121" s="87"/>
    </row>
    <row r="122" s="26" customFormat="1" spans="1:10">
      <c r="A122" s="63" t="s">
        <v>175</v>
      </c>
      <c r="B122" s="64"/>
      <c r="C122" s="64"/>
      <c r="D122" s="64"/>
      <c r="E122" s="64"/>
      <c r="F122" s="64"/>
      <c r="G122" s="64"/>
      <c r="H122" s="64"/>
      <c r="I122" s="64"/>
      <c r="J122" s="88"/>
    </row>
    <row r="123" s="26" customFormat="1" ht="13.8" customHeight="1" spans="1:10">
      <c r="A123" s="103">
        <v>1</v>
      </c>
      <c r="B123" s="104" t="s">
        <v>176</v>
      </c>
      <c r="C123" s="105" t="s">
        <v>20</v>
      </c>
      <c r="D123" s="106">
        <v>5358</v>
      </c>
      <c r="E123" s="106">
        <v>2</v>
      </c>
      <c r="F123" s="106" t="s">
        <v>21</v>
      </c>
      <c r="G123" s="104" t="s">
        <v>177</v>
      </c>
      <c r="H123" s="106" t="s">
        <v>14</v>
      </c>
      <c r="I123" s="106" t="s">
        <v>178</v>
      </c>
      <c r="J123" s="113" t="s">
        <v>179</v>
      </c>
    </row>
    <row r="124" s="26" customFormat="1" ht="13.2" customHeight="1" spans="1:10">
      <c r="A124" s="103">
        <v>2</v>
      </c>
      <c r="B124" s="104" t="s">
        <v>180</v>
      </c>
      <c r="C124" s="105" t="s">
        <v>20</v>
      </c>
      <c r="D124" s="106">
        <v>5359</v>
      </c>
      <c r="E124" s="106">
        <v>2</v>
      </c>
      <c r="F124" s="106" t="s">
        <v>21</v>
      </c>
      <c r="G124" s="104" t="s">
        <v>181</v>
      </c>
      <c r="H124" s="106" t="s">
        <v>14</v>
      </c>
      <c r="I124" s="106" t="s">
        <v>178</v>
      </c>
      <c r="J124" s="113"/>
    </row>
    <row r="125" s="26" customFormat="1" ht="13.8" customHeight="1" spans="1:10">
      <c r="A125" s="103">
        <v>3</v>
      </c>
      <c r="B125" s="104" t="s">
        <v>182</v>
      </c>
      <c r="C125" s="105" t="s">
        <v>20</v>
      </c>
      <c r="D125" s="106">
        <v>5360</v>
      </c>
      <c r="E125" s="106">
        <v>2</v>
      </c>
      <c r="F125" s="106" t="s">
        <v>21</v>
      </c>
      <c r="G125" s="104" t="s">
        <v>162</v>
      </c>
      <c r="H125" s="106" t="s">
        <v>14</v>
      </c>
      <c r="I125" s="106" t="s">
        <v>178</v>
      </c>
      <c r="J125" s="113" t="s">
        <v>183</v>
      </c>
    </row>
    <row r="126" s="26" customFormat="1" ht="13.2" customHeight="1" spans="1:10">
      <c r="A126" s="103">
        <v>4</v>
      </c>
      <c r="B126" s="105" t="s">
        <v>184</v>
      </c>
      <c r="C126" s="105" t="s">
        <v>20</v>
      </c>
      <c r="D126" s="106">
        <v>5361</v>
      </c>
      <c r="E126" s="106">
        <v>2</v>
      </c>
      <c r="F126" s="107" t="s">
        <v>21</v>
      </c>
      <c r="G126" s="104" t="s">
        <v>185</v>
      </c>
      <c r="H126" s="106" t="s">
        <v>14</v>
      </c>
      <c r="I126" s="106" t="s">
        <v>178</v>
      </c>
      <c r="J126" s="113"/>
    </row>
    <row r="127" s="26" customFormat="1" ht="13.2" customHeight="1" spans="1:10">
      <c r="A127" s="103">
        <v>5</v>
      </c>
      <c r="B127" s="105" t="s">
        <v>186</v>
      </c>
      <c r="C127" s="105" t="s">
        <v>20</v>
      </c>
      <c r="D127" s="106">
        <v>5362</v>
      </c>
      <c r="E127" s="106">
        <v>2</v>
      </c>
      <c r="F127" s="107" t="s">
        <v>21</v>
      </c>
      <c r="G127" s="108" t="s">
        <v>187</v>
      </c>
      <c r="H127" s="106" t="s">
        <v>14</v>
      </c>
      <c r="I127" s="106" t="s">
        <v>178</v>
      </c>
      <c r="J127" s="113"/>
    </row>
    <row r="128" s="26" customFormat="1" ht="14.4" customHeight="1" spans="1:10">
      <c r="A128" s="103">
        <v>6</v>
      </c>
      <c r="B128" s="105" t="s">
        <v>188</v>
      </c>
      <c r="C128" s="105" t="s">
        <v>20</v>
      </c>
      <c r="D128" s="106">
        <v>5363</v>
      </c>
      <c r="E128" s="106">
        <v>2</v>
      </c>
      <c r="F128" s="107" t="s">
        <v>21</v>
      </c>
      <c r="G128" s="104" t="s">
        <v>189</v>
      </c>
      <c r="H128" s="106" t="s">
        <v>14</v>
      </c>
      <c r="I128" s="106" t="s">
        <v>178</v>
      </c>
      <c r="J128" s="113"/>
    </row>
    <row r="129" s="26" customFormat="1" ht="14.4" customHeight="1" spans="1:10">
      <c r="A129" s="103">
        <v>7</v>
      </c>
      <c r="B129" s="105" t="s">
        <v>190</v>
      </c>
      <c r="C129" s="105" t="s">
        <v>20</v>
      </c>
      <c r="D129" s="106">
        <v>5364</v>
      </c>
      <c r="E129" s="106">
        <v>2</v>
      </c>
      <c r="F129" s="107" t="s">
        <v>21</v>
      </c>
      <c r="G129" s="104" t="s">
        <v>189</v>
      </c>
      <c r="H129" s="106" t="s">
        <v>14</v>
      </c>
      <c r="I129" s="106" t="s">
        <v>178</v>
      </c>
      <c r="J129" s="113"/>
    </row>
    <row r="130" s="26" customFormat="1" spans="1:10">
      <c r="A130" s="114">
        <v>8</v>
      </c>
      <c r="B130" s="115" t="s">
        <v>191</v>
      </c>
      <c r="C130" s="69" t="s">
        <v>20</v>
      </c>
      <c r="D130" s="71">
        <v>5365</v>
      </c>
      <c r="E130" s="71">
        <v>2</v>
      </c>
      <c r="F130" s="71" t="s">
        <v>85</v>
      </c>
      <c r="G130" s="53" t="s">
        <v>192</v>
      </c>
      <c r="H130" s="71" t="s">
        <v>14</v>
      </c>
      <c r="I130" s="71" t="s">
        <v>24</v>
      </c>
      <c r="J130" s="89" t="s">
        <v>193</v>
      </c>
    </row>
    <row r="131" s="26" customFormat="1" spans="1:10">
      <c r="A131" s="114">
        <v>9</v>
      </c>
      <c r="B131" s="115" t="s">
        <v>194</v>
      </c>
      <c r="C131" s="69" t="s">
        <v>20</v>
      </c>
      <c r="D131" s="71">
        <v>5366</v>
      </c>
      <c r="E131" s="71">
        <v>2</v>
      </c>
      <c r="F131" s="71" t="s">
        <v>85</v>
      </c>
      <c r="G131" s="53" t="s">
        <v>195</v>
      </c>
      <c r="H131" s="71" t="s">
        <v>14</v>
      </c>
      <c r="I131" s="71" t="s">
        <v>24</v>
      </c>
      <c r="J131" s="89"/>
    </row>
    <row r="132" s="26" customFormat="1" spans="1:10">
      <c r="A132" s="114">
        <v>10</v>
      </c>
      <c r="B132" s="115" t="s">
        <v>196</v>
      </c>
      <c r="C132" s="69" t="s">
        <v>20</v>
      </c>
      <c r="D132" s="71">
        <v>5367</v>
      </c>
      <c r="E132" s="71">
        <v>2</v>
      </c>
      <c r="F132" s="71" t="s">
        <v>85</v>
      </c>
      <c r="G132" s="53" t="s">
        <v>197</v>
      </c>
      <c r="H132" s="71" t="s">
        <v>14</v>
      </c>
      <c r="I132" s="71" t="s">
        <v>24</v>
      </c>
      <c r="J132" s="89"/>
    </row>
    <row r="133" s="26" customFormat="1" spans="1:10">
      <c r="A133" s="114">
        <v>11</v>
      </c>
      <c r="B133" s="115" t="s">
        <v>198</v>
      </c>
      <c r="C133" s="69" t="s">
        <v>20</v>
      </c>
      <c r="D133" s="71">
        <v>5368</v>
      </c>
      <c r="E133" s="71">
        <v>2</v>
      </c>
      <c r="F133" s="71" t="s">
        <v>21</v>
      </c>
      <c r="G133" s="53" t="s">
        <v>199</v>
      </c>
      <c r="H133" s="71" t="s">
        <v>14</v>
      </c>
      <c r="I133" s="71" t="s">
        <v>24</v>
      </c>
      <c r="J133" s="89"/>
    </row>
    <row r="134" s="26" customFormat="1" spans="1:10">
      <c r="A134" s="114">
        <v>12</v>
      </c>
      <c r="B134" s="115" t="s">
        <v>200</v>
      </c>
      <c r="C134" s="69" t="s">
        <v>20</v>
      </c>
      <c r="D134" s="71">
        <v>5369</v>
      </c>
      <c r="E134" s="71">
        <v>2</v>
      </c>
      <c r="F134" s="71" t="s">
        <v>21</v>
      </c>
      <c r="G134" s="53" t="s">
        <v>201</v>
      </c>
      <c r="H134" s="71" t="s">
        <v>14</v>
      </c>
      <c r="I134" s="71" t="s">
        <v>24</v>
      </c>
      <c r="J134" s="89"/>
    </row>
    <row r="135" s="26" customFormat="1" spans="1:10">
      <c r="A135" s="114">
        <v>13</v>
      </c>
      <c r="B135" s="115" t="s">
        <v>202</v>
      </c>
      <c r="C135" s="69" t="s">
        <v>20</v>
      </c>
      <c r="D135" s="71">
        <v>5370</v>
      </c>
      <c r="E135" s="71">
        <v>2</v>
      </c>
      <c r="F135" s="71" t="s">
        <v>85</v>
      </c>
      <c r="G135" s="53" t="s">
        <v>203</v>
      </c>
      <c r="H135" s="71" t="s">
        <v>14</v>
      </c>
      <c r="I135" s="71" t="s">
        <v>24</v>
      </c>
      <c r="J135" s="89"/>
    </row>
    <row r="136" s="26" customFormat="1" spans="1:10">
      <c r="A136" s="114">
        <v>14</v>
      </c>
      <c r="B136" s="115" t="s">
        <v>204</v>
      </c>
      <c r="C136" s="69" t="s">
        <v>20</v>
      </c>
      <c r="D136" s="71">
        <v>5371</v>
      </c>
      <c r="E136" s="71">
        <v>2</v>
      </c>
      <c r="F136" s="71" t="s">
        <v>85</v>
      </c>
      <c r="G136" s="53" t="s">
        <v>205</v>
      </c>
      <c r="H136" s="71" t="s">
        <v>14</v>
      </c>
      <c r="I136" s="71" t="s">
        <v>24</v>
      </c>
      <c r="J136" s="89"/>
    </row>
    <row r="137" s="26" customFormat="1" spans="1:10">
      <c r="A137" s="114">
        <v>15</v>
      </c>
      <c r="B137" s="116" t="s">
        <v>206</v>
      </c>
      <c r="C137" s="69" t="s">
        <v>20</v>
      </c>
      <c r="D137" s="71">
        <v>5372</v>
      </c>
      <c r="E137" s="71">
        <v>2</v>
      </c>
      <c r="F137" s="71" t="s">
        <v>21</v>
      </c>
      <c r="G137" s="57" t="s">
        <v>207</v>
      </c>
      <c r="H137" s="71" t="s">
        <v>14</v>
      </c>
      <c r="I137" s="71" t="s">
        <v>24</v>
      </c>
      <c r="J137" s="89"/>
    </row>
    <row r="138" s="26" customFormat="1" spans="1:10">
      <c r="A138" s="114">
        <v>16</v>
      </c>
      <c r="B138" s="116" t="s">
        <v>208</v>
      </c>
      <c r="C138" s="69" t="s">
        <v>20</v>
      </c>
      <c r="D138" s="71">
        <v>5373</v>
      </c>
      <c r="E138" s="71">
        <v>2</v>
      </c>
      <c r="F138" s="71" t="s">
        <v>21</v>
      </c>
      <c r="G138" s="57" t="s">
        <v>209</v>
      </c>
      <c r="H138" s="71" t="s">
        <v>14</v>
      </c>
      <c r="I138" s="71" t="s">
        <v>24</v>
      </c>
      <c r="J138" s="89"/>
    </row>
    <row r="139" s="26" customFormat="1" spans="1:10">
      <c r="A139" s="114">
        <v>17</v>
      </c>
      <c r="B139" s="53" t="s">
        <v>210</v>
      </c>
      <c r="C139" s="69" t="s">
        <v>20</v>
      </c>
      <c r="D139" s="71">
        <v>5374</v>
      </c>
      <c r="E139" s="71">
        <v>2</v>
      </c>
      <c r="F139" s="71" t="s">
        <v>21</v>
      </c>
      <c r="G139" s="53" t="s">
        <v>211</v>
      </c>
      <c r="H139" s="71" t="s">
        <v>14</v>
      </c>
      <c r="I139" s="71" t="s">
        <v>24</v>
      </c>
      <c r="J139" s="89"/>
    </row>
    <row r="140" s="26" customFormat="1" spans="1:10">
      <c r="A140" s="114">
        <v>18</v>
      </c>
      <c r="B140" s="53" t="s">
        <v>212</v>
      </c>
      <c r="C140" s="69" t="s">
        <v>20</v>
      </c>
      <c r="D140" s="71">
        <v>5375</v>
      </c>
      <c r="E140" s="71">
        <v>2</v>
      </c>
      <c r="F140" s="71" t="s">
        <v>21</v>
      </c>
      <c r="G140" s="53" t="s">
        <v>213</v>
      </c>
      <c r="H140" s="71" t="s">
        <v>14</v>
      </c>
      <c r="I140" s="71" t="s">
        <v>24</v>
      </c>
      <c r="J140" s="89"/>
    </row>
    <row r="141" s="26" customFormat="1" spans="1:10">
      <c r="A141" s="114">
        <v>19</v>
      </c>
      <c r="B141" s="62" t="s">
        <v>214</v>
      </c>
      <c r="C141" s="59" t="s">
        <v>20</v>
      </c>
      <c r="D141" s="67">
        <v>5376</v>
      </c>
      <c r="E141" s="67">
        <v>2</v>
      </c>
      <c r="F141" s="67" t="s">
        <v>21</v>
      </c>
      <c r="G141" s="62" t="s">
        <v>215</v>
      </c>
      <c r="H141" s="67" t="s">
        <v>14</v>
      </c>
      <c r="I141" s="67" t="s">
        <v>24</v>
      </c>
      <c r="J141" s="87" t="s">
        <v>216</v>
      </c>
    </row>
    <row r="142" s="26" customFormat="1" spans="1:10">
      <c r="A142" s="114">
        <v>20</v>
      </c>
      <c r="B142" s="62" t="s">
        <v>217</v>
      </c>
      <c r="C142" s="59" t="s">
        <v>20</v>
      </c>
      <c r="D142" s="67">
        <v>5377</v>
      </c>
      <c r="E142" s="67">
        <v>2</v>
      </c>
      <c r="F142" s="67" t="s">
        <v>21</v>
      </c>
      <c r="G142" s="62" t="s">
        <v>218</v>
      </c>
      <c r="H142" s="67" t="s">
        <v>14</v>
      </c>
      <c r="I142" s="67" t="s">
        <v>24</v>
      </c>
      <c r="J142" s="87"/>
    </row>
    <row r="143" s="26" customFormat="1" spans="1:10">
      <c r="A143" s="114">
        <v>21</v>
      </c>
      <c r="B143" s="77" t="s">
        <v>219</v>
      </c>
      <c r="C143" s="59" t="s">
        <v>20</v>
      </c>
      <c r="D143" s="67">
        <v>5378</v>
      </c>
      <c r="E143" s="67">
        <v>2</v>
      </c>
      <c r="F143" s="67" t="s">
        <v>21</v>
      </c>
      <c r="G143" s="62" t="s">
        <v>220</v>
      </c>
      <c r="H143" s="67" t="s">
        <v>14</v>
      </c>
      <c r="I143" s="67" t="s">
        <v>24</v>
      </c>
      <c r="J143" s="87"/>
    </row>
    <row r="144" s="26" customFormat="1" spans="1:10">
      <c r="A144" s="114">
        <v>22</v>
      </c>
      <c r="B144" s="77" t="s">
        <v>221</v>
      </c>
      <c r="C144" s="59" t="s">
        <v>20</v>
      </c>
      <c r="D144" s="67">
        <v>5379</v>
      </c>
      <c r="E144" s="67">
        <v>2</v>
      </c>
      <c r="F144" s="67" t="s">
        <v>21</v>
      </c>
      <c r="G144" s="62" t="s">
        <v>222</v>
      </c>
      <c r="H144" s="67" t="s">
        <v>14</v>
      </c>
      <c r="I144" s="67" t="s">
        <v>24</v>
      </c>
      <c r="J144" s="87"/>
    </row>
    <row r="145" s="26" customFormat="1" spans="1:10">
      <c r="A145" s="114">
        <v>23</v>
      </c>
      <c r="B145" s="77" t="s">
        <v>223</v>
      </c>
      <c r="C145" s="59" t="s">
        <v>20</v>
      </c>
      <c r="D145" s="67">
        <v>5380</v>
      </c>
      <c r="E145" s="67">
        <v>2</v>
      </c>
      <c r="F145" s="67" t="s">
        <v>85</v>
      </c>
      <c r="G145" s="62" t="s">
        <v>224</v>
      </c>
      <c r="H145" s="67" t="s">
        <v>14</v>
      </c>
      <c r="I145" s="67" t="s">
        <v>24</v>
      </c>
      <c r="J145" s="87"/>
    </row>
    <row r="146" s="26" customFormat="1" spans="1:10">
      <c r="A146" s="114">
        <v>24</v>
      </c>
      <c r="B146" s="77" t="s">
        <v>225</v>
      </c>
      <c r="C146" s="59" t="s">
        <v>20</v>
      </c>
      <c r="D146" s="67">
        <v>5381</v>
      </c>
      <c r="E146" s="67">
        <v>2</v>
      </c>
      <c r="F146" s="67" t="s">
        <v>85</v>
      </c>
      <c r="G146" s="62" t="s">
        <v>226</v>
      </c>
      <c r="H146" s="67" t="s">
        <v>14</v>
      </c>
      <c r="I146" s="67" t="s">
        <v>24</v>
      </c>
      <c r="J146" s="87"/>
    </row>
    <row r="147" s="26" customFormat="1" spans="1:10">
      <c r="A147" s="114">
        <v>25</v>
      </c>
      <c r="B147" s="77" t="s">
        <v>227</v>
      </c>
      <c r="C147" s="59" t="s">
        <v>20</v>
      </c>
      <c r="D147" s="67">
        <v>5382</v>
      </c>
      <c r="E147" s="67">
        <v>2</v>
      </c>
      <c r="F147" s="67" t="s">
        <v>85</v>
      </c>
      <c r="G147" s="62" t="s">
        <v>228</v>
      </c>
      <c r="H147" s="67" t="s">
        <v>14</v>
      </c>
      <c r="I147" s="67" t="s">
        <v>24</v>
      </c>
      <c r="J147" s="87"/>
    </row>
    <row r="148" s="26" customFormat="1" spans="1:10">
      <c r="A148" s="114">
        <v>26</v>
      </c>
      <c r="B148" s="77" t="s">
        <v>229</v>
      </c>
      <c r="C148" s="59" t="s">
        <v>20</v>
      </c>
      <c r="D148" s="67">
        <v>5383</v>
      </c>
      <c r="E148" s="67">
        <v>2</v>
      </c>
      <c r="F148" s="67" t="s">
        <v>85</v>
      </c>
      <c r="G148" s="62" t="s">
        <v>230</v>
      </c>
      <c r="H148" s="67" t="s">
        <v>14</v>
      </c>
      <c r="I148" s="67" t="s">
        <v>24</v>
      </c>
      <c r="J148" s="87"/>
    </row>
    <row r="149" s="26" customFormat="1" spans="1:10">
      <c r="A149" s="114">
        <v>27</v>
      </c>
      <c r="B149" s="77" t="s">
        <v>231</v>
      </c>
      <c r="C149" s="59" t="s">
        <v>20</v>
      </c>
      <c r="D149" s="67">
        <v>5384</v>
      </c>
      <c r="E149" s="67">
        <v>2</v>
      </c>
      <c r="F149" s="67" t="s">
        <v>85</v>
      </c>
      <c r="G149" s="62" t="s">
        <v>232</v>
      </c>
      <c r="H149" s="67" t="s">
        <v>14</v>
      </c>
      <c r="I149" s="67" t="s">
        <v>24</v>
      </c>
      <c r="J149" s="87"/>
    </row>
    <row r="150" s="26" customFormat="1" spans="1:10">
      <c r="A150" s="114">
        <v>28</v>
      </c>
      <c r="B150" s="77" t="s">
        <v>233</v>
      </c>
      <c r="C150" s="59" t="s">
        <v>20</v>
      </c>
      <c r="D150" s="67">
        <v>5385</v>
      </c>
      <c r="E150" s="67">
        <v>2</v>
      </c>
      <c r="F150" s="67" t="s">
        <v>85</v>
      </c>
      <c r="G150" s="62" t="s">
        <v>234</v>
      </c>
      <c r="H150" s="67" t="s">
        <v>14</v>
      </c>
      <c r="I150" s="67" t="s">
        <v>24</v>
      </c>
      <c r="J150" s="87"/>
    </row>
    <row r="151" s="26" customFormat="1" spans="1:10">
      <c r="A151" s="114">
        <v>29</v>
      </c>
      <c r="B151" s="77" t="s">
        <v>235</v>
      </c>
      <c r="C151" s="59" t="s">
        <v>20</v>
      </c>
      <c r="D151" s="67">
        <v>5386</v>
      </c>
      <c r="E151" s="67">
        <v>2</v>
      </c>
      <c r="F151" s="67" t="s">
        <v>85</v>
      </c>
      <c r="G151" s="62" t="s">
        <v>236</v>
      </c>
      <c r="H151" s="67" t="s">
        <v>14</v>
      </c>
      <c r="I151" s="67" t="s">
        <v>24</v>
      </c>
      <c r="J151" s="87"/>
    </row>
    <row r="152" s="26" customFormat="1" spans="1:10">
      <c r="A152" s="114">
        <v>30</v>
      </c>
      <c r="B152" s="77" t="s">
        <v>237</v>
      </c>
      <c r="C152" s="59" t="s">
        <v>20</v>
      </c>
      <c r="D152" s="67">
        <v>5387</v>
      </c>
      <c r="E152" s="67">
        <v>2</v>
      </c>
      <c r="F152" s="67" t="s">
        <v>85</v>
      </c>
      <c r="G152" s="62" t="s">
        <v>238</v>
      </c>
      <c r="H152" s="67" t="s">
        <v>14</v>
      </c>
      <c r="I152" s="67" t="s">
        <v>24</v>
      </c>
      <c r="J152" s="87"/>
    </row>
    <row r="153" s="26" customFormat="1" spans="1:10">
      <c r="A153" s="114">
        <v>31</v>
      </c>
      <c r="B153" s="77" t="s">
        <v>239</v>
      </c>
      <c r="C153" s="59" t="s">
        <v>20</v>
      </c>
      <c r="D153" s="67">
        <v>5388</v>
      </c>
      <c r="E153" s="67">
        <v>2</v>
      </c>
      <c r="F153" s="67" t="s">
        <v>85</v>
      </c>
      <c r="G153" s="62" t="s">
        <v>240</v>
      </c>
      <c r="H153" s="67" t="s">
        <v>14</v>
      </c>
      <c r="I153" s="67" t="s">
        <v>24</v>
      </c>
      <c r="J153" s="87"/>
    </row>
    <row r="154" s="26" customFormat="1" spans="1:10">
      <c r="A154" s="114">
        <v>32</v>
      </c>
      <c r="B154" s="77" t="s">
        <v>241</v>
      </c>
      <c r="C154" s="59" t="s">
        <v>20</v>
      </c>
      <c r="D154" s="67">
        <v>5389</v>
      </c>
      <c r="E154" s="67">
        <v>2</v>
      </c>
      <c r="F154" s="67" t="s">
        <v>85</v>
      </c>
      <c r="G154" s="62" t="s">
        <v>242</v>
      </c>
      <c r="H154" s="67" t="s">
        <v>14</v>
      </c>
      <c r="I154" s="67" t="s">
        <v>24</v>
      </c>
      <c r="J154" s="87"/>
    </row>
    <row r="155" s="26" customFormat="1" spans="1:10">
      <c r="A155" s="114">
        <v>33</v>
      </c>
      <c r="B155" s="77" t="s">
        <v>243</v>
      </c>
      <c r="C155" s="59" t="s">
        <v>20</v>
      </c>
      <c r="D155" s="67">
        <v>5390</v>
      </c>
      <c r="E155" s="67">
        <v>2</v>
      </c>
      <c r="F155" s="67" t="s">
        <v>21</v>
      </c>
      <c r="G155" s="62" t="s">
        <v>244</v>
      </c>
      <c r="H155" s="67" t="s">
        <v>14</v>
      </c>
      <c r="I155" s="67" t="s">
        <v>24</v>
      </c>
      <c r="J155" s="87"/>
    </row>
    <row r="156" s="26" customFormat="1" spans="1:10">
      <c r="A156" s="114">
        <v>34</v>
      </c>
      <c r="B156" s="77" t="s">
        <v>245</v>
      </c>
      <c r="C156" s="59" t="s">
        <v>20</v>
      </c>
      <c r="D156" s="67">
        <v>5391</v>
      </c>
      <c r="E156" s="67">
        <v>2</v>
      </c>
      <c r="F156" s="67" t="s">
        <v>21</v>
      </c>
      <c r="G156" s="62" t="s">
        <v>246</v>
      </c>
      <c r="H156" s="67" t="s">
        <v>14</v>
      </c>
      <c r="I156" s="67" t="s">
        <v>24</v>
      </c>
      <c r="J156" s="87"/>
    </row>
    <row r="157" s="26" customFormat="1" spans="1:10">
      <c r="A157" s="114">
        <v>35</v>
      </c>
      <c r="B157" s="77" t="s">
        <v>247</v>
      </c>
      <c r="C157" s="59" t="s">
        <v>20</v>
      </c>
      <c r="D157" s="67">
        <v>5392</v>
      </c>
      <c r="E157" s="67">
        <v>2</v>
      </c>
      <c r="F157" s="67" t="s">
        <v>21</v>
      </c>
      <c r="G157" s="62" t="s">
        <v>246</v>
      </c>
      <c r="H157" s="67" t="s">
        <v>14</v>
      </c>
      <c r="I157" s="67" t="s">
        <v>24</v>
      </c>
      <c r="J157" s="87"/>
    </row>
    <row r="158" s="26" customFormat="1" spans="1:10">
      <c r="A158" s="114">
        <v>36</v>
      </c>
      <c r="B158" s="77" t="s">
        <v>248</v>
      </c>
      <c r="C158" s="59" t="s">
        <v>20</v>
      </c>
      <c r="D158" s="67">
        <v>5393</v>
      </c>
      <c r="E158" s="67">
        <v>2</v>
      </c>
      <c r="F158" s="67" t="s">
        <v>21</v>
      </c>
      <c r="G158" s="62" t="s">
        <v>249</v>
      </c>
      <c r="H158" s="67" t="s">
        <v>14</v>
      </c>
      <c r="I158" s="67" t="s">
        <v>24</v>
      </c>
      <c r="J158" s="87"/>
    </row>
    <row r="159" s="26" customFormat="1" spans="1:10">
      <c r="A159" s="114">
        <v>37</v>
      </c>
      <c r="B159" s="77" t="s">
        <v>250</v>
      </c>
      <c r="C159" s="59" t="s">
        <v>20</v>
      </c>
      <c r="D159" s="67">
        <v>5394</v>
      </c>
      <c r="E159" s="67">
        <v>2</v>
      </c>
      <c r="F159" s="67" t="s">
        <v>21</v>
      </c>
      <c r="G159" s="62" t="s">
        <v>251</v>
      </c>
      <c r="H159" s="67" t="s">
        <v>14</v>
      </c>
      <c r="I159" s="67" t="s">
        <v>24</v>
      </c>
      <c r="J159" s="87"/>
    </row>
    <row r="160" s="26" customFormat="1" spans="1:10">
      <c r="A160" s="114">
        <v>38</v>
      </c>
      <c r="B160" s="77" t="s">
        <v>252</v>
      </c>
      <c r="C160" s="59" t="s">
        <v>20</v>
      </c>
      <c r="D160" s="67">
        <v>5395</v>
      </c>
      <c r="E160" s="67">
        <v>2</v>
      </c>
      <c r="F160" s="67" t="s">
        <v>21</v>
      </c>
      <c r="G160" s="62" t="s">
        <v>253</v>
      </c>
      <c r="H160" s="67" t="s">
        <v>14</v>
      </c>
      <c r="I160" s="67" t="s">
        <v>24</v>
      </c>
      <c r="J160" s="87"/>
    </row>
    <row r="161" s="26" customFormat="1" spans="1:10">
      <c r="A161" s="114">
        <v>39</v>
      </c>
      <c r="B161" s="77" t="s">
        <v>254</v>
      </c>
      <c r="C161" s="59" t="s">
        <v>20</v>
      </c>
      <c r="D161" s="67">
        <v>5396</v>
      </c>
      <c r="E161" s="67">
        <v>2</v>
      </c>
      <c r="F161" s="67" t="s">
        <v>21</v>
      </c>
      <c r="G161" s="62" t="s">
        <v>255</v>
      </c>
      <c r="H161" s="67" t="s">
        <v>14</v>
      </c>
      <c r="I161" s="67" t="s">
        <v>24</v>
      </c>
      <c r="J161" s="87"/>
    </row>
    <row r="162" s="26" customFormat="1" spans="1:10">
      <c r="A162" s="114">
        <v>40</v>
      </c>
      <c r="B162" s="92" t="s">
        <v>256</v>
      </c>
      <c r="C162" s="59" t="s">
        <v>20</v>
      </c>
      <c r="D162" s="67">
        <v>5397</v>
      </c>
      <c r="E162" s="65">
        <v>2</v>
      </c>
      <c r="F162" s="65" t="s">
        <v>21</v>
      </c>
      <c r="G162" s="93" t="s">
        <v>257</v>
      </c>
      <c r="H162" s="65" t="s">
        <v>14</v>
      </c>
      <c r="I162" s="67" t="s">
        <v>24</v>
      </c>
      <c r="J162" s="87"/>
    </row>
    <row r="163" s="26" customFormat="1" spans="1:10">
      <c r="A163" s="114">
        <v>41</v>
      </c>
      <c r="B163" s="92" t="s">
        <v>258</v>
      </c>
      <c r="C163" s="59" t="s">
        <v>20</v>
      </c>
      <c r="D163" s="67">
        <v>5398</v>
      </c>
      <c r="E163" s="65">
        <v>2</v>
      </c>
      <c r="F163" s="65" t="s">
        <v>21</v>
      </c>
      <c r="G163" s="93" t="s">
        <v>259</v>
      </c>
      <c r="H163" s="65" t="s">
        <v>14</v>
      </c>
      <c r="I163" s="67" t="s">
        <v>24</v>
      </c>
      <c r="J163" s="87"/>
    </row>
    <row r="164" s="26" customFormat="1" spans="1:10">
      <c r="A164" s="114">
        <v>42</v>
      </c>
      <c r="B164" s="59" t="s">
        <v>260</v>
      </c>
      <c r="C164" s="59" t="s">
        <v>20</v>
      </c>
      <c r="D164" s="67">
        <v>5399</v>
      </c>
      <c r="E164" s="60">
        <v>2</v>
      </c>
      <c r="F164" s="60" t="s">
        <v>21</v>
      </c>
      <c r="G164" s="61" t="s">
        <v>261</v>
      </c>
      <c r="H164" s="60" t="s">
        <v>14</v>
      </c>
      <c r="I164" s="67" t="s">
        <v>24</v>
      </c>
      <c r="J164" s="87"/>
    </row>
    <row r="165" s="26" customFormat="1" spans="1:10">
      <c r="A165" s="114">
        <v>43</v>
      </c>
      <c r="B165" s="61" t="s">
        <v>262</v>
      </c>
      <c r="C165" s="59" t="s">
        <v>20</v>
      </c>
      <c r="D165" s="67">
        <v>5400</v>
      </c>
      <c r="E165" s="60">
        <v>2</v>
      </c>
      <c r="F165" s="60" t="s">
        <v>21</v>
      </c>
      <c r="G165" s="61" t="s">
        <v>263</v>
      </c>
      <c r="H165" s="60" t="s">
        <v>14</v>
      </c>
      <c r="I165" s="67" t="s">
        <v>24</v>
      </c>
      <c r="J165" s="87"/>
    </row>
    <row r="166" s="26" customFormat="1" spans="1:10">
      <c r="A166" s="114">
        <v>44</v>
      </c>
      <c r="B166" s="61" t="s">
        <v>264</v>
      </c>
      <c r="C166" s="59" t="s">
        <v>20</v>
      </c>
      <c r="D166" s="67">
        <v>5401</v>
      </c>
      <c r="E166" s="60">
        <v>2</v>
      </c>
      <c r="F166" s="60" t="s">
        <v>21</v>
      </c>
      <c r="G166" s="61" t="s">
        <v>265</v>
      </c>
      <c r="H166" s="60" t="s">
        <v>14</v>
      </c>
      <c r="I166" s="67" t="s">
        <v>24</v>
      </c>
      <c r="J166" s="87"/>
    </row>
    <row r="167" s="26" customFormat="1" spans="1:10">
      <c r="A167" s="114">
        <v>45</v>
      </c>
      <c r="B167" s="61" t="s">
        <v>266</v>
      </c>
      <c r="C167" s="59" t="s">
        <v>20</v>
      </c>
      <c r="D167" s="67">
        <v>5402</v>
      </c>
      <c r="E167" s="60">
        <v>2</v>
      </c>
      <c r="F167" s="60" t="s">
        <v>21</v>
      </c>
      <c r="G167" s="61" t="s">
        <v>267</v>
      </c>
      <c r="H167" s="60" t="s">
        <v>14</v>
      </c>
      <c r="I167" s="67" t="s">
        <v>24</v>
      </c>
      <c r="J167" s="87"/>
    </row>
    <row r="168" s="26" customFormat="1" spans="1:10">
      <c r="A168" s="114">
        <v>46</v>
      </c>
      <c r="B168" s="61" t="s">
        <v>268</v>
      </c>
      <c r="C168" s="59" t="s">
        <v>20</v>
      </c>
      <c r="D168" s="67">
        <v>5403</v>
      </c>
      <c r="E168" s="60">
        <v>2</v>
      </c>
      <c r="F168" s="60" t="s">
        <v>21</v>
      </c>
      <c r="G168" s="61" t="s">
        <v>269</v>
      </c>
      <c r="H168" s="60" t="s">
        <v>14</v>
      </c>
      <c r="I168" s="67" t="s">
        <v>24</v>
      </c>
      <c r="J168" s="87"/>
    </row>
    <row r="169" s="26" customFormat="1" spans="1:10">
      <c r="A169" s="114">
        <v>47</v>
      </c>
      <c r="B169" s="61" t="s">
        <v>270</v>
      </c>
      <c r="C169" s="59" t="s">
        <v>20</v>
      </c>
      <c r="D169" s="67">
        <v>5404</v>
      </c>
      <c r="E169" s="60">
        <v>2</v>
      </c>
      <c r="F169" s="60" t="s">
        <v>21</v>
      </c>
      <c r="G169" s="61" t="s">
        <v>271</v>
      </c>
      <c r="H169" s="60" t="s">
        <v>14</v>
      </c>
      <c r="I169" s="67" t="s">
        <v>24</v>
      </c>
      <c r="J169" s="87"/>
    </row>
    <row r="170" s="26" customFormat="1" spans="1:10">
      <c r="A170" s="114">
        <v>48</v>
      </c>
      <c r="B170" s="61" t="s">
        <v>272</v>
      </c>
      <c r="C170" s="59" t="s">
        <v>20</v>
      </c>
      <c r="D170" s="67">
        <v>5405</v>
      </c>
      <c r="E170" s="60">
        <v>2</v>
      </c>
      <c r="F170" s="60" t="s">
        <v>21</v>
      </c>
      <c r="G170" s="61" t="s">
        <v>273</v>
      </c>
      <c r="H170" s="60" t="s">
        <v>14</v>
      </c>
      <c r="I170" s="67" t="s">
        <v>24</v>
      </c>
      <c r="J170" s="87"/>
    </row>
    <row r="171" s="26" customFormat="1" spans="1:10">
      <c r="A171" s="114">
        <v>49</v>
      </c>
      <c r="B171" s="61" t="s">
        <v>274</v>
      </c>
      <c r="C171" s="59" t="s">
        <v>20</v>
      </c>
      <c r="D171" s="67">
        <v>5406</v>
      </c>
      <c r="E171" s="65">
        <v>2</v>
      </c>
      <c r="F171" s="65" t="s">
        <v>21</v>
      </c>
      <c r="G171" s="93" t="s">
        <v>275</v>
      </c>
      <c r="H171" s="65" t="s">
        <v>14</v>
      </c>
      <c r="I171" s="67" t="s">
        <v>24</v>
      </c>
      <c r="J171" s="87"/>
    </row>
    <row r="172" s="26" customFormat="1" spans="1:10">
      <c r="A172" s="114">
        <v>50</v>
      </c>
      <c r="B172" s="93" t="s">
        <v>276</v>
      </c>
      <c r="C172" s="59" t="s">
        <v>20</v>
      </c>
      <c r="D172" s="67">
        <v>5407</v>
      </c>
      <c r="E172" s="65">
        <v>2</v>
      </c>
      <c r="F172" s="65" t="s">
        <v>21</v>
      </c>
      <c r="G172" s="93" t="s">
        <v>277</v>
      </c>
      <c r="H172" s="65" t="s">
        <v>14</v>
      </c>
      <c r="I172" s="67" t="s">
        <v>24</v>
      </c>
      <c r="J172" s="87"/>
    </row>
    <row r="173" s="26" customFormat="1" spans="1:10">
      <c r="A173" s="114">
        <v>51</v>
      </c>
      <c r="B173" s="93" t="s">
        <v>278</v>
      </c>
      <c r="C173" s="92" t="s">
        <v>20</v>
      </c>
      <c r="D173" s="65">
        <v>5408</v>
      </c>
      <c r="E173" s="65">
        <v>2</v>
      </c>
      <c r="F173" s="65" t="s">
        <v>21</v>
      </c>
      <c r="G173" s="93" t="s">
        <v>279</v>
      </c>
      <c r="H173" s="65" t="s">
        <v>14</v>
      </c>
      <c r="I173" s="65" t="s">
        <v>24</v>
      </c>
      <c r="J173" s="109"/>
    </row>
    <row r="174" s="26" customFormat="1" spans="1:10">
      <c r="A174" s="117">
        <v>52</v>
      </c>
      <c r="B174" s="95" t="s">
        <v>280</v>
      </c>
      <c r="C174" s="96" t="s">
        <v>20</v>
      </c>
      <c r="D174" s="97">
        <v>5409</v>
      </c>
      <c r="E174" s="97">
        <v>2</v>
      </c>
      <c r="F174" s="97" t="s">
        <v>21</v>
      </c>
      <c r="G174" s="95" t="s">
        <v>281</v>
      </c>
      <c r="H174" s="97" t="s">
        <v>14</v>
      </c>
      <c r="I174" s="97" t="s">
        <v>24</v>
      </c>
      <c r="J174" s="110"/>
    </row>
    <row r="175" s="26" customFormat="1" spans="1:10">
      <c r="A175" s="114">
        <v>53</v>
      </c>
      <c r="B175" s="61" t="s">
        <v>282</v>
      </c>
      <c r="C175" s="59" t="s">
        <v>20</v>
      </c>
      <c r="D175" s="67">
        <v>5410</v>
      </c>
      <c r="E175" s="60">
        <v>2</v>
      </c>
      <c r="F175" s="60" t="s">
        <v>21</v>
      </c>
      <c r="G175" s="61" t="s">
        <v>283</v>
      </c>
      <c r="H175" s="60" t="s">
        <v>14</v>
      </c>
      <c r="I175" s="67" t="s">
        <v>24</v>
      </c>
      <c r="J175" s="87"/>
    </row>
    <row r="176" s="26" customFormat="1" spans="1:10">
      <c r="A176" s="114">
        <v>54</v>
      </c>
      <c r="B176" s="61" t="s">
        <v>284</v>
      </c>
      <c r="C176" s="59" t="s">
        <v>20</v>
      </c>
      <c r="D176" s="67">
        <v>5411</v>
      </c>
      <c r="E176" s="60">
        <v>2</v>
      </c>
      <c r="F176" s="60" t="s">
        <v>21</v>
      </c>
      <c r="G176" s="61" t="s">
        <v>285</v>
      </c>
      <c r="H176" s="60" t="s">
        <v>14</v>
      </c>
      <c r="I176" s="67" t="s">
        <v>24</v>
      </c>
      <c r="J176" s="87"/>
    </row>
    <row r="177" s="26" customFormat="1" spans="1:10">
      <c r="A177" s="114">
        <v>55</v>
      </c>
      <c r="B177" s="61" t="s">
        <v>286</v>
      </c>
      <c r="C177" s="59" t="s">
        <v>20</v>
      </c>
      <c r="D177" s="67">
        <v>5412</v>
      </c>
      <c r="E177" s="60">
        <v>2</v>
      </c>
      <c r="F177" s="60" t="s">
        <v>21</v>
      </c>
      <c r="G177" s="62" t="s">
        <v>287</v>
      </c>
      <c r="H177" s="60" t="s">
        <v>14</v>
      </c>
      <c r="I177" s="67" t="s">
        <v>24</v>
      </c>
      <c r="J177" s="87"/>
    </row>
    <row r="178" s="26" customFormat="1" spans="1:10">
      <c r="A178" s="114">
        <v>56</v>
      </c>
      <c r="B178" s="61" t="s">
        <v>288</v>
      </c>
      <c r="C178" s="59" t="s">
        <v>20</v>
      </c>
      <c r="D178" s="67">
        <v>5413</v>
      </c>
      <c r="E178" s="60">
        <v>2</v>
      </c>
      <c r="F178" s="60" t="s">
        <v>21</v>
      </c>
      <c r="G178" s="62" t="s">
        <v>289</v>
      </c>
      <c r="H178" s="60" t="s">
        <v>14</v>
      </c>
      <c r="I178" s="67" t="s">
        <v>24</v>
      </c>
      <c r="J178" s="87"/>
    </row>
    <row r="179" s="26" customFormat="1" spans="1:10">
      <c r="A179" s="114">
        <v>57</v>
      </c>
      <c r="B179" s="61" t="s">
        <v>290</v>
      </c>
      <c r="C179" s="59" t="s">
        <v>20</v>
      </c>
      <c r="D179" s="67">
        <v>5414</v>
      </c>
      <c r="E179" s="60">
        <v>2</v>
      </c>
      <c r="F179" s="60" t="s">
        <v>21</v>
      </c>
      <c r="G179" s="62" t="s">
        <v>291</v>
      </c>
      <c r="H179" s="60" t="s">
        <v>14</v>
      </c>
      <c r="I179" s="67" t="s">
        <v>24</v>
      </c>
      <c r="J179" s="87"/>
    </row>
    <row r="180" s="26" customFormat="1" ht="127.2" customHeight="1" spans="1:10">
      <c r="A180" s="114">
        <v>58</v>
      </c>
      <c r="B180" s="93" t="s">
        <v>292</v>
      </c>
      <c r="C180" s="92" t="s">
        <v>20</v>
      </c>
      <c r="D180" s="65">
        <v>5415</v>
      </c>
      <c r="E180" s="65">
        <v>2</v>
      </c>
      <c r="F180" s="65" t="s">
        <v>21</v>
      </c>
      <c r="G180" s="57" t="s">
        <v>293</v>
      </c>
      <c r="H180" s="65" t="s">
        <v>14</v>
      </c>
      <c r="I180" s="65" t="s">
        <v>24</v>
      </c>
      <c r="J180" s="109"/>
    </row>
    <row r="181" s="26" customFormat="1" spans="1:10">
      <c r="A181" s="114">
        <v>59</v>
      </c>
      <c r="B181" s="93" t="s">
        <v>294</v>
      </c>
      <c r="C181" s="92" t="s">
        <v>20</v>
      </c>
      <c r="D181" s="65">
        <v>5416</v>
      </c>
      <c r="E181" s="65">
        <v>2</v>
      </c>
      <c r="F181" s="65" t="s">
        <v>21</v>
      </c>
      <c r="G181" s="57" t="s">
        <v>295</v>
      </c>
      <c r="H181" s="65" t="s">
        <v>14</v>
      </c>
      <c r="I181" s="65" t="s">
        <v>24</v>
      </c>
      <c r="J181" s="109"/>
    </row>
    <row r="182" s="26" customFormat="1" ht="192" spans="1:10">
      <c r="A182" s="114">
        <v>60</v>
      </c>
      <c r="B182" s="93" t="s">
        <v>296</v>
      </c>
      <c r="C182" s="92" t="s">
        <v>20</v>
      </c>
      <c r="D182" s="65">
        <v>5417</v>
      </c>
      <c r="E182" s="65">
        <v>2</v>
      </c>
      <c r="F182" s="65" t="s">
        <v>21</v>
      </c>
      <c r="G182" s="57" t="s">
        <v>297</v>
      </c>
      <c r="H182" s="65" t="s">
        <v>14</v>
      </c>
      <c r="I182" s="65" t="s">
        <v>24</v>
      </c>
      <c r="J182" s="109"/>
    </row>
    <row r="183" s="26" customFormat="1" spans="1:10">
      <c r="A183" s="114">
        <v>61</v>
      </c>
      <c r="B183" s="93" t="s">
        <v>298</v>
      </c>
      <c r="C183" s="92" t="s">
        <v>20</v>
      </c>
      <c r="D183" s="65">
        <v>5418</v>
      </c>
      <c r="E183" s="65">
        <v>2</v>
      </c>
      <c r="F183" s="65" t="s">
        <v>21</v>
      </c>
      <c r="G183" s="93" t="s">
        <v>299</v>
      </c>
      <c r="H183" s="65" t="s">
        <v>14</v>
      </c>
      <c r="I183" s="65" t="s">
        <v>24</v>
      </c>
      <c r="J183" s="109"/>
    </row>
    <row r="184" s="26" customFormat="1" spans="1:10">
      <c r="A184" s="114">
        <v>62</v>
      </c>
      <c r="B184" s="93" t="s">
        <v>300</v>
      </c>
      <c r="C184" s="92" t="s">
        <v>20</v>
      </c>
      <c r="D184" s="65">
        <v>5419</v>
      </c>
      <c r="E184" s="65">
        <v>2</v>
      </c>
      <c r="F184" s="65" t="s">
        <v>21</v>
      </c>
      <c r="G184" s="93" t="s">
        <v>301</v>
      </c>
      <c r="H184" s="65" t="s">
        <v>14</v>
      </c>
      <c r="I184" s="65" t="s">
        <v>24</v>
      </c>
      <c r="J184" s="109"/>
    </row>
    <row r="185" s="26" customFormat="1" spans="1:10">
      <c r="A185" s="114">
        <v>63</v>
      </c>
      <c r="B185" s="93" t="s">
        <v>302</v>
      </c>
      <c r="C185" s="92" t="s">
        <v>20</v>
      </c>
      <c r="D185" s="65">
        <v>5420</v>
      </c>
      <c r="E185" s="65">
        <v>2</v>
      </c>
      <c r="F185" s="65" t="s">
        <v>21</v>
      </c>
      <c r="G185" s="93" t="s">
        <v>303</v>
      </c>
      <c r="H185" s="65" t="s">
        <v>14</v>
      </c>
      <c r="I185" s="65" t="s">
        <v>24</v>
      </c>
      <c r="J185" s="109"/>
    </row>
    <row r="186" s="26" customFormat="1" spans="1:10">
      <c r="A186" s="114">
        <v>64</v>
      </c>
      <c r="B186" s="93" t="s">
        <v>304</v>
      </c>
      <c r="C186" s="92" t="s">
        <v>20</v>
      </c>
      <c r="D186" s="65">
        <v>5421</v>
      </c>
      <c r="E186" s="65">
        <v>2</v>
      </c>
      <c r="F186" s="65" t="s">
        <v>21</v>
      </c>
      <c r="G186" s="93" t="s">
        <v>305</v>
      </c>
      <c r="H186" s="65" t="s">
        <v>14</v>
      </c>
      <c r="I186" s="65" t="s">
        <v>24</v>
      </c>
      <c r="J186" s="109"/>
    </row>
    <row r="187" s="26" customFormat="1" ht="48" spans="1:10">
      <c r="A187" s="114">
        <v>65</v>
      </c>
      <c r="B187" s="57" t="s">
        <v>306</v>
      </c>
      <c r="C187" s="116" t="s">
        <v>20</v>
      </c>
      <c r="D187" s="70">
        <v>5422</v>
      </c>
      <c r="E187" s="70">
        <v>2</v>
      </c>
      <c r="F187" s="70" t="s">
        <v>21</v>
      </c>
      <c r="G187" s="57" t="s">
        <v>307</v>
      </c>
      <c r="H187" s="70" t="s">
        <v>14</v>
      </c>
      <c r="I187" s="70" t="s">
        <v>24</v>
      </c>
      <c r="J187" s="118"/>
    </row>
    <row r="188" s="26" customFormat="1" ht="36" spans="1:10">
      <c r="A188" s="114">
        <v>66</v>
      </c>
      <c r="B188" s="57" t="s">
        <v>308</v>
      </c>
      <c r="C188" s="116" t="s">
        <v>20</v>
      </c>
      <c r="D188" s="70">
        <v>5423</v>
      </c>
      <c r="E188" s="70">
        <v>2</v>
      </c>
      <c r="F188" s="70" t="s">
        <v>21</v>
      </c>
      <c r="G188" s="57" t="s">
        <v>309</v>
      </c>
      <c r="H188" s="70" t="s">
        <v>14</v>
      </c>
      <c r="I188" s="70" t="s">
        <v>24</v>
      </c>
      <c r="J188" s="118"/>
    </row>
    <row r="189" s="26" customFormat="1" spans="1:10">
      <c r="A189" s="114">
        <v>67</v>
      </c>
      <c r="B189" s="57" t="s">
        <v>310</v>
      </c>
      <c r="C189" s="116" t="s">
        <v>20</v>
      </c>
      <c r="D189" s="70">
        <v>5424</v>
      </c>
      <c r="E189" s="70">
        <v>2</v>
      </c>
      <c r="F189" s="70" t="s">
        <v>21</v>
      </c>
      <c r="G189" s="57" t="s">
        <v>57</v>
      </c>
      <c r="H189" s="70" t="s">
        <v>14</v>
      </c>
      <c r="I189" s="70" t="s">
        <v>24</v>
      </c>
      <c r="J189" s="118"/>
    </row>
    <row r="190" s="26" customFormat="1" spans="1:10">
      <c r="A190" s="114">
        <v>68</v>
      </c>
      <c r="B190" s="57" t="s">
        <v>311</v>
      </c>
      <c r="C190" s="116" t="s">
        <v>20</v>
      </c>
      <c r="D190" s="70">
        <v>5425</v>
      </c>
      <c r="E190" s="70">
        <v>2</v>
      </c>
      <c r="F190" s="70" t="s">
        <v>21</v>
      </c>
      <c r="G190" s="57" t="s">
        <v>57</v>
      </c>
      <c r="H190" s="70" t="s">
        <v>14</v>
      </c>
      <c r="I190" s="70" t="s">
        <v>24</v>
      </c>
      <c r="J190" s="118"/>
    </row>
    <row r="191" s="26" customFormat="1" ht="24" spans="1:10">
      <c r="A191" s="114">
        <v>69</v>
      </c>
      <c r="B191" s="57" t="s">
        <v>312</v>
      </c>
      <c r="C191" s="116" t="s">
        <v>20</v>
      </c>
      <c r="D191" s="70">
        <v>5426</v>
      </c>
      <c r="E191" s="70">
        <v>2</v>
      </c>
      <c r="F191" s="70" t="s">
        <v>21</v>
      </c>
      <c r="G191" s="57" t="s">
        <v>313</v>
      </c>
      <c r="H191" s="70" t="s">
        <v>14</v>
      </c>
      <c r="I191" s="70" t="s">
        <v>24</v>
      </c>
      <c r="J191" s="118"/>
    </row>
    <row r="192" s="26" customFormat="1" ht="24" spans="1:10">
      <c r="A192" s="114">
        <v>70</v>
      </c>
      <c r="B192" s="57" t="s">
        <v>314</v>
      </c>
      <c r="C192" s="116" t="s">
        <v>20</v>
      </c>
      <c r="D192" s="70">
        <v>5427</v>
      </c>
      <c r="E192" s="70">
        <v>2</v>
      </c>
      <c r="F192" s="70" t="s">
        <v>21</v>
      </c>
      <c r="G192" s="57" t="s">
        <v>315</v>
      </c>
      <c r="H192" s="70" t="s">
        <v>14</v>
      </c>
      <c r="I192" s="70" t="s">
        <v>24</v>
      </c>
      <c r="J192" s="118"/>
    </row>
    <row r="193" s="26" customFormat="1" ht="24" spans="1:10">
      <c r="A193" s="114">
        <v>71</v>
      </c>
      <c r="B193" s="57" t="s">
        <v>316</v>
      </c>
      <c r="C193" s="116" t="s">
        <v>20</v>
      </c>
      <c r="D193" s="70">
        <v>5428</v>
      </c>
      <c r="E193" s="70">
        <v>2</v>
      </c>
      <c r="F193" s="70" t="s">
        <v>21</v>
      </c>
      <c r="G193" s="57" t="s">
        <v>317</v>
      </c>
      <c r="H193" s="70" t="s">
        <v>14</v>
      </c>
      <c r="I193" s="70" t="s">
        <v>24</v>
      </c>
      <c r="J193" s="118"/>
    </row>
    <row r="194" s="26" customFormat="1" ht="24" spans="1:10">
      <c r="A194" s="114">
        <v>72</v>
      </c>
      <c r="B194" s="57" t="s">
        <v>318</v>
      </c>
      <c r="C194" s="116" t="s">
        <v>20</v>
      </c>
      <c r="D194" s="70">
        <v>5429</v>
      </c>
      <c r="E194" s="70">
        <v>2</v>
      </c>
      <c r="F194" s="70" t="s">
        <v>21</v>
      </c>
      <c r="G194" s="57" t="s">
        <v>319</v>
      </c>
      <c r="H194" s="70" t="s">
        <v>14</v>
      </c>
      <c r="I194" s="70" t="s">
        <v>24</v>
      </c>
      <c r="J194" s="118"/>
    </row>
    <row r="195" s="26" customFormat="1" ht="24" spans="1:10">
      <c r="A195" s="114">
        <v>73</v>
      </c>
      <c r="B195" s="57" t="s">
        <v>320</v>
      </c>
      <c r="C195" s="116" t="s">
        <v>20</v>
      </c>
      <c r="D195" s="70">
        <v>5430</v>
      </c>
      <c r="E195" s="70">
        <v>2</v>
      </c>
      <c r="F195" s="70" t="s">
        <v>21</v>
      </c>
      <c r="G195" s="57" t="s">
        <v>321</v>
      </c>
      <c r="H195" s="70" t="s">
        <v>14</v>
      </c>
      <c r="I195" s="70" t="s">
        <v>24</v>
      </c>
      <c r="J195" s="118"/>
    </row>
    <row r="196" s="26" customFormat="1" spans="1:10">
      <c r="A196" s="114">
        <v>74</v>
      </c>
      <c r="B196" s="57" t="s">
        <v>322</v>
      </c>
      <c r="C196" s="116" t="s">
        <v>20</v>
      </c>
      <c r="D196" s="70">
        <v>5431</v>
      </c>
      <c r="E196" s="70">
        <v>2</v>
      </c>
      <c r="F196" s="70" t="s">
        <v>21</v>
      </c>
      <c r="G196" s="57" t="s">
        <v>323</v>
      </c>
      <c r="H196" s="70" t="s">
        <v>14</v>
      </c>
      <c r="I196" s="70" t="s">
        <v>24</v>
      </c>
      <c r="J196" s="118"/>
    </row>
    <row r="197" s="26" customFormat="1" ht="36" spans="1:10">
      <c r="A197" s="114">
        <v>75</v>
      </c>
      <c r="B197" s="57" t="s">
        <v>324</v>
      </c>
      <c r="C197" s="116" t="s">
        <v>20</v>
      </c>
      <c r="D197" s="70">
        <v>5432</v>
      </c>
      <c r="E197" s="70">
        <v>2</v>
      </c>
      <c r="F197" s="70" t="s">
        <v>21</v>
      </c>
      <c r="G197" s="57" t="s">
        <v>325</v>
      </c>
      <c r="H197" s="70" t="s">
        <v>14</v>
      </c>
      <c r="I197" s="70" t="s">
        <v>24</v>
      </c>
      <c r="J197" s="118"/>
    </row>
    <row r="198" s="26" customFormat="1" ht="96" spans="1:10">
      <c r="A198" s="114">
        <v>76</v>
      </c>
      <c r="B198" s="57" t="s">
        <v>326</v>
      </c>
      <c r="C198" s="116" t="s">
        <v>20</v>
      </c>
      <c r="D198" s="70">
        <v>5433</v>
      </c>
      <c r="E198" s="70">
        <v>2</v>
      </c>
      <c r="F198" s="70" t="s">
        <v>21</v>
      </c>
      <c r="G198" s="57" t="s">
        <v>327</v>
      </c>
      <c r="H198" s="70" t="s">
        <v>14</v>
      </c>
      <c r="I198" s="70" t="s">
        <v>24</v>
      </c>
      <c r="J198" s="118"/>
    </row>
    <row r="199" s="26" customFormat="1" spans="1:10">
      <c r="A199" s="114"/>
      <c r="B199" s="62"/>
      <c r="C199" s="59"/>
      <c r="D199" s="67"/>
      <c r="E199" s="67"/>
      <c r="F199" s="67"/>
      <c r="G199" s="62"/>
      <c r="H199" s="67"/>
      <c r="I199" s="67"/>
      <c r="J199" s="87"/>
    </row>
    <row r="200" s="26" customFormat="1" spans="1:10">
      <c r="A200" s="119" t="s">
        <v>328</v>
      </c>
      <c r="B200" s="120"/>
      <c r="C200" s="120"/>
      <c r="D200" s="120"/>
      <c r="E200" s="120"/>
      <c r="F200" s="120"/>
      <c r="G200" s="120"/>
      <c r="H200" s="120"/>
      <c r="I200" s="120"/>
      <c r="J200" s="123"/>
    </row>
    <row r="201" s="26" customFormat="1" spans="1:10">
      <c r="A201" s="63" t="s">
        <v>329</v>
      </c>
      <c r="B201" s="64"/>
      <c r="C201" s="64"/>
      <c r="D201" s="64"/>
      <c r="E201" s="64"/>
      <c r="F201" s="64"/>
      <c r="G201" s="64"/>
      <c r="H201" s="64"/>
      <c r="I201" s="64"/>
      <c r="J201" s="88"/>
    </row>
    <row r="202" spans="1:10">
      <c r="A202" s="91">
        <v>1</v>
      </c>
      <c r="B202" s="93" t="s">
        <v>330</v>
      </c>
      <c r="C202" s="93" t="s">
        <v>331</v>
      </c>
      <c r="D202" s="65">
        <v>1</v>
      </c>
      <c r="E202" s="65">
        <v>2</v>
      </c>
      <c r="F202" s="65" t="s">
        <v>21</v>
      </c>
      <c r="G202" s="93" t="s">
        <v>332</v>
      </c>
      <c r="H202" s="65" t="s">
        <v>23</v>
      </c>
      <c r="I202" s="65" t="s">
        <v>333</v>
      </c>
      <c r="J202" s="109" t="s">
        <v>25</v>
      </c>
    </row>
    <row r="203" spans="1:10">
      <c r="A203" s="91">
        <v>2</v>
      </c>
      <c r="B203" s="93" t="s">
        <v>334</v>
      </c>
      <c r="C203" s="93" t="s">
        <v>331</v>
      </c>
      <c r="D203" s="65">
        <v>2</v>
      </c>
      <c r="E203" s="65">
        <v>2</v>
      </c>
      <c r="F203" s="65" t="s">
        <v>21</v>
      </c>
      <c r="G203" s="93" t="s">
        <v>332</v>
      </c>
      <c r="H203" s="65" t="s">
        <v>23</v>
      </c>
      <c r="I203" s="65" t="s">
        <v>333</v>
      </c>
      <c r="J203" s="109"/>
    </row>
    <row r="204" spans="1:10">
      <c r="A204" s="58" t="s">
        <v>58</v>
      </c>
      <c r="B204" s="59" t="s">
        <v>58</v>
      </c>
      <c r="C204" s="59"/>
      <c r="D204" s="60" t="s">
        <v>58</v>
      </c>
      <c r="E204" s="60" t="s">
        <v>58</v>
      </c>
      <c r="F204" s="60" t="s">
        <v>58</v>
      </c>
      <c r="G204" s="61" t="s">
        <v>58</v>
      </c>
      <c r="H204" s="60" t="s">
        <v>58</v>
      </c>
      <c r="I204" s="60" t="s">
        <v>58</v>
      </c>
      <c r="J204" s="87"/>
    </row>
    <row r="205" spans="1:10">
      <c r="A205" s="91">
        <f>D2-1</f>
        <v>15</v>
      </c>
      <c r="B205" s="93" t="s">
        <v>335</v>
      </c>
      <c r="C205" s="93" t="s">
        <v>331</v>
      </c>
      <c r="D205" s="65">
        <f>D206-1</f>
        <v>15</v>
      </c>
      <c r="E205" s="65">
        <v>2</v>
      </c>
      <c r="F205" s="65" t="s">
        <v>21</v>
      </c>
      <c r="G205" s="93" t="s">
        <v>332</v>
      </c>
      <c r="H205" s="65" t="s">
        <v>23</v>
      </c>
      <c r="I205" s="65" t="s">
        <v>333</v>
      </c>
      <c r="J205" s="109"/>
    </row>
    <row r="206" spans="1:10">
      <c r="A206" s="91">
        <f>D2</f>
        <v>16</v>
      </c>
      <c r="B206" s="93" t="s">
        <v>336</v>
      </c>
      <c r="C206" s="93" t="s">
        <v>331</v>
      </c>
      <c r="D206" s="65">
        <f>D2+D202-1</f>
        <v>16</v>
      </c>
      <c r="E206" s="65">
        <v>2</v>
      </c>
      <c r="F206" s="65" t="s">
        <v>21</v>
      </c>
      <c r="G206" s="93" t="s">
        <v>332</v>
      </c>
      <c r="H206" s="65" t="s">
        <v>23</v>
      </c>
      <c r="I206" s="65" t="s">
        <v>333</v>
      </c>
      <c r="J206" s="109"/>
    </row>
    <row r="207" spans="1:10">
      <c r="A207" s="100">
        <f>D2+1</f>
        <v>17</v>
      </c>
      <c r="B207" s="101" t="s">
        <v>337</v>
      </c>
      <c r="C207" s="101" t="s">
        <v>331</v>
      </c>
      <c r="D207" s="102">
        <f>D206+1</f>
        <v>17</v>
      </c>
      <c r="E207" s="102">
        <v>2</v>
      </c>
      <c r="F207" s="102" t="s">
        <v>21</v>
      </c>
      <c r="G207" s="101" t="s">
        <v>332</v>
      </c>
      <c r="H207" s="102" t="s">
        <v>23</v>
      </c>
      <c r="I207" s="102" t="s">
        <v>338</v>
      </c>
      <c r="J207" s="112"/>
    </row>
    <row r="208" spans="1:10">
      <c r="A208" s="100">
        <f>D2+2</f>
        <v>18</v>
      </c>
      <c r="B208" s="101" t="s">
        <v>339</v>
      </c>
      <c r="C208" s="101" t="s">
        <v>331</v>
      </c>
      <c r="D208" s="102">
        <f>D207+1</f>
        <v>18</v>
      </c>
      <c r="E208" s="102">
        <v>2</v>
      </c>
      <c r="F208" s="102" t="s">
        <v>21</v>
      </c>
      <c r="G208" s="101" t="s">
        <v>332</v>
      </c>
      <c r="H208" s="102" t="s">
        <v>23</v>
      </c>
      <c r="I208" s="102" t="s">
        <v>338</v>
      </c>
      <c r="J208" s="112"/>
    </row>
    <row r="209" spans="1:10">
      <c r="A209" s="100" t="s">
        <v>58</v>
      </c>
      <c r="B209" s="101" t="s">
        <v>58</v>
      </c>
      <c r="C209" s="101"/>
      <c r="D209" s="102" t="s">
        <v>58</v>
      </c>
      <c r="E209" s="102" t="s">
        <v>58</v>
      </c>
      <c r="F209" s="102" t="s">
        <v>58</v>
      </c>
      <c r="G209" s="101" t="s">
        <v>58</v>
      </c>
      <c r="H209" s="102" t="s">
        <v>58</v>
      </c>
      <c r="I209" s="102" t="s">
        <v>58</v>
      </c>
      <c r="J209" s="112"/>
    </row>
    <row r="210" spans="1:10">
      <c r="A210" s="100">
        <f>A211-1</f>
        <v>31</v>
      </c>
      <c r="B210" s="101" t="s">
        <v>340</v>
      </c>
      <c r="C210" s="101" t="s">
        <v>331</v>
      </c>
      <c r="D210" s="102">
        <f>D211-1</f>
        <v>31</v>
      </c>
      <c r="E210" s="102">
        <v>2</v>
      </c>
      <c r="F210" s="102" t="s">
        <v>21</v>
      </c>
      <c r="G210" s="101" t="s">
        <v>332</v>
      </c>
      <c r="H210" s="102" t="s">
        <v>23</v>
      </c>
      <c r="I210" s="102" t="s">
        <v>341</v>
      </c>
      <c r="J210" s="112"/>
    </row>
    <row r="211" spans="1:10">
      <c r="A211" s="100">
        <f>2*D2</f>
        <v>32</v>
      </c>
      <c r="B211" s="101" t="s">
        <v>342</v>
      </c>
      <c r="C211" s="101" t="s">
        <v>331</v>
      </c>
      <c r="D211" s="102">
        <f>2*D2+D202-1</f>
        <v>32</v>
      </c>
      <c r="E211" s="102">
        <v>2</v>
      </c>
      <c r="F211" s="102" t="s">
        <v>21</v>
      </c>
      <c r="G211" s="101" t="s">
        <v>332</v>
      </c>
      <c r="H211" s="102" t="s">
        <v>23</v>
      </c>
      <c r="I211" s="102" t="s">
        <v>341</v>
      </c>
      <c r="J211" s="112"/>
    </row>
    <row r="212" spans="1:10">
      <c r="A212" s="121" t="s">
        <v>343</v>
      </c>
      <c r="B212" s="122"/>
      <c r="C212" s="122"/>
      <c r="D212" s="122"/>
      <c r="E212" s="122"/>
      <c r="F212" s="122"/>
      <c r="G212" s="122"/>
      <c r="H212" s="122"/>
      <c r="I212" s="122"/>
      <c r="J212" s="124"/>
    </row>
    <row r="213" spans="1:10">
      <c r="A213" s="91">
        <f>(F2-2)*D2+1</f>
        <v>289</v>
      </c>
      <c r="B213" s="93" t="s">
        <v>344</v>
      </c>
      <c r="C213" s="93" t="s">
        <v>331</v>
      </c>
      <c r="D213" s="65">
        <f>(F2-2)*D2+D202</f>
        <v>289</v>
      </c>
      <c r="E213" s="65">
        <v>2</v>
      </c>
      <c r="F213" s="65" t="s">
        <v>21</v>
      </c>
      <c r="G213" s="93" t="s">
        <v>332</v>
      </c>
      <c r="H213" s="65" t="s">
        <v>23</v>
      </c>
      <c r="I213" s="65" t="s">
        <v>345</v>
      </c>
      <c r="J213" s="109"/>
    </row>
    <row r="214" spans="1:10">
      <c r="A214" s="91">
        <f>A213+1</f>
        <v>290</v>
      </c>
      <c r="B214" s="93" t="s">
        <v>346</v>
      </c>
      <c r="C214" s="93" t="s">
        <v>331</v>
      </c>
      <c r="D214" s="65">
        <f>D213+1</f>
        <v>290</v>
      </c>
      <c r="E214" s="65">
        <v>2</v>
      </c>
      <c r="F214" s="65" t="s">
        <v>21</v>
      </c>
      <c r="G214" s="93" t="s">
        <v>332</v>
      </c>
      <c r="H214" s="65" t="s">
        <v>23</v>
      </c>
      <c r="I214" s="65" t="s">
        <v>345</v>
      </c>
      <c r="J214" s="109"/>
    </row>
    <row r="215" spans="1:10">
      <c r="A215" s="58" t="s">
        <v>58</v>
      </c>
      <c r="B215" s="59" t="s">
        <v>58</v>
      </c>
      <c r="C215" s="59"/>
      <c r="D215" s="60" t="s">
        <v>58</v>
      </c>
      <c r="E215" s="60" t="s">
        <v>58</v>
      </c>
      <c r="F215" s="60" t="s">
        <v>58</v>
      </c>
      <c r="G215" s="61" t="s">
        <v>58</v>
      </c>
      <c r="H215" s="60" t="s">
        <v>58</v>
      </c>
      <c r="I215" s="60" t="s">
        <v>58</v>
      </c>
      <c r="J215" s="87"/>
    </row>
    <row r="216" spans="1:10">
      <c r="A216" s="91">
        <f>A217-1</f>
        <v>303</v>
      </c>
      <c r="B216" s="93" t="s">
        <v>347</v>
      </c>
      <c r="C216" s="93" t="s">
        <v>331</v>
      </c>
      <c r="D216" s="65">
        <f>D217-1</f>
        <v>303</v>
      </c>
      <c r="E216" s="65">
        <v>2</v>
      </c>
      <c r="F216" s="65" t="s">
        <v>21</v>
      </c>
      <c r="G216" s="93" t="s">
        <v>332</v>
      </c>
      <c r="H216" s="65" t="s">
        <v>23</v>
      </c>
      <c r="I216" s="65" t="s">
        <v>345</v>
      </c>
      <c r="J216" s="109"/>
    </row>
    <row r="217" spans="1:10">
      <c r="A217" s="91">
        <f>(F2-1)*D2</f>
        <v>304</v>
      </c>
      <c r="B217" s="93" t="s">
        <v>348</v>
      </c>
      <c r="C217" s="93" t="s">
        <v>331</v>
      </c>
      <c r="D217" s="65">
        <f>(F2-1)*D2+D202-1</f>
        <v>304</v>
      </c>
      <c r="E217" s="65">
        <v>2</v>
      </c>
      <c r="F217" s="65" t="s">
        <v>21</v>
      </c>
      <c r="G217" s="93" t="s">
        <v>332</v>
      </c>
      <c r="H217" s="65" t="s">
        <v>23</v>
      </c>
      <c r="I217" s="65" t="s">
        <v>345</v>
      </c>
      <c r="J217" s="109"/>
    </row>
    <row r="218" spans="1:10">
      <c r="A218" s="100">
        <f>(F2-1)*D2+1</f>
        <v>305</v>
      </c>
      <c r="B218" s="101" t="s">
        <v>349</v>
      </c>
      <c r="C218" s="101" t="s">
        <v>331</v>
      </c>
      <c r="D218" s="102">
        <f>(F2-1)*D2+D202</f>
        <v>305</v>
      </c>
      <c r="E218" s="102">
        <v>2</v>
      </c>
      <c r="F218" s="102" t="s">
        <v>21</v>
      </c>
      <c r="G218" s="101" t="s">
        <v>332</v>
      </c>
      <c r="H218" s="102" t="s">
        <v>23</v>
      </c>
      <c r="I218" s="102" t="s">
        <v>350</v>
      </c>
      <c r="J218" s="112"/>
    </row>
    <row r="219" spans="1:10">
      <c r="A219" s="100">
        <f>A218+1</f>
        <v>306</v>
      </c>
      <c r="B219" s="101" t="s">
        <v>351</v>
      </c>
      <c r="C219" s="101" t="s">
        <v>331</v>
      </c>
      <c r="D219" s="102">
        <f>D218+1</f>
        <v>306</v>
      </c>
      <c r="E219" s="102">
        <v>2</v>
      </c>
      <c r="F219" s="102" t="s">
        <v>21</v>
      </c>
      <c r="G219" s="101" t="s">
        <v>332</v>
      </c>
      <c r="H219" s="102" t="s">
        <v>23</v>
      </c>
      <c r="I219" s="102" t="s">
        <v>350</v>
      </c>
      <c r="J219" s="112"/>
    </row>
    <row r="220" spans="1:10">
      <c r="A220" s="100" t="s">
        <v>58</v>
      </c>
      <c r="B220" s="101" t="s">
        <v>58</v>
      </c>
      <c r="C220" s="101"/>
      <c r="D220" s="102" t="s">
        <v>58</v>
      </c>
      <c r="E220" s="102" t="s">
        <v>58</v>
      </c>
      <c r="F220" s="102" t="s">
        <v>58</v>
      </c>
      <c r="G220" s="101" t="s">
        <v>58</v>
      </c>
      <c r="H220" s="102" t="s">
        <v>58</v>
      </c>
      <c r="I220" s="102" t="s">
        <v>58</v>
      </c>
      <c r="J220" s="112"/>
    </row>
    <row r="221" spans="1:10">
      <c r="A221" s="100">
        <f>A222-1</f>
        <v>319</v>
      </c>
      <c r="B221" s="101" t="s">
        <v>352</v>
      </c>
      <c r="C221" s="101" t="s">
        <v>331</v>
      </c>
      <c r="D221" s="102">
        <f>D222-1</f>
        <v>319</v>
      </c>
      <c r="E221" s="102">
        <v>2</v>
      </c>
      <c r="F221" s="102" t="s">
        <v>21</v>
      </c>
      <c r="G221" s="101" t="s">
        <v>332</v>
      </c>
      <c r="H221" s="102" t="s">
        <v>23</v>
      </c>
      <c r="I221" s="102" t="s">
        <v>350</v>
      </c>
      <c r="J221" s="112"/>
    </row>
    <row r="222" spans="1:10">
      <c r="A222" s="100">
        <f>F2*D2</f>
        <v>320</v>
      </c>
      <c r="B222" s="101" t="s">
        <v>353</v>
      </c>
      <c r="C222" s="101" t="s">
        <v>331</v>
      </c>
      <c r="D222" s="102">
        <f>F2*D2+D202-1</f>
        <v>320</v>
      </c>
      <c r="E222" s="102">
        <v>2</v>
      </c>
      <c r="F222" s="102" t="s">
        <v>21</v>
      </c>
      <c r="G222" s="101" t="s">
        <v>332</v>
      </c>
      <c r="H222" s="102" t="s">
        <v>23</v>
      </c>
      <c r="I222" s="102" t="s">
        <v>350</v>
      </c>
      <c r="J222" s="112"/>
    </row>
    <row r="223" spans="1:10">
      <c r="A223" s="91"/>
      <c r="B223" s="93"/>
      <c r="C223" s="93"/>
      <c r="D223" s="65"/>
      <c r="E223" s="65"/>
      <c r="F223" s="65"/>
      <c r="G223" s="65"/>
      <c r="H223" s="65"/>
      <c r="I223" s="65"/>
      <c r="J223" s="109"/>
    </row>
    <row r="224" spans="1:10">
      <c r="A224" s="63" t="s">
        <v>354</v>
      </c>
      <c r="B224" s="64"/>
      <c r="C224" s="64"/>
      <c r="D224" s="64"/>
      <c r="E224" s="64"/>
      <c r="F224" s="64"/>
      <c r="G224" s="64"/>
      <c r="H224" s="64"/>
      <c r="I224" s="64"/>
      <c r="J224" s="88"/>
    </row>
    <row r="225" spans="1:10">
      <c r="A225" s="91">
        <v>1</v>
      </c>
      <c r="B225" s="93" t="s">
        <v>355</v>
      </c>
      <c r="C225" s="93" t="s">
        <v>331</v>
      </c>
      <c r="D225" s="65">
        <v>4096</v>
      </c>
      <c r="E225" s="65">
        <v>2</v>
      </c>
      <c r="F225" s="65" t="s">
        <v>85</v>
      </c>
      <c r="G225" s="93" t="s">
        <v>356</v>
      </c>
      <c r="H225" s="65" t="s">
        <v>23</v>
      </c>
      <c r="I225" s="65" t="s">
        <v>333</v>
      </c>
      <c r="J225" s="109" t="s">
        <v>164</v>
      </c>
    </row>
    <row r="226" spans="1:10">
      <c r="A226" s="91">
        <v>2</v>
      </c>
      <c r="B226" s="93" t="s">
        <v>357</v>
      </c>
      <c r="C226" s="93" t="s">
        <v>331</v>
      </c>
      <c r="D226" s="65">
        <v>4097</v>
      </c>
      <c r="E226" s="65">
        <v>2</v>
      </c>
      <c r="F226" s="65" t="s">
        <v>85</v>
      </c>
      <c r="G226" s="93" t="s">
        <v>356</v>
      </c>
      <c r="H226" s="65" t="s">
        <v>23</v>
      </c>
      <c r="I226" s="65" t="s">
        <v>333</v>
      </c>
      <c r="J226" s="109"/>
    </row>
    <row r="227" spans="1:10">
      <c r="A227" s="58" t="s">
        <v>58</v>
      </c>
      <c r="B227" s="59" t="s">
        <v>58</v>
      </c>
      <c r="C227" s="59"/>
      <c r="D227" s="60" t="s">
        <v>58</v>
      </c>
      <c r="E227" s="60" t="s">
        <v>58</v>
      </c>
      <c r="F227" s="60" t="s">
        <v>58</v>
      </c>
      <c r="G227" s="61" t="s">
        <v>58</v>
      </c>
      <c r="H227" s="60" t="s">
        <v>58</v>
      </c>
      <c r="I227" s="60" t="s">
        <v>58</v>
      </c>
      <c r="J227" s="87"/>
    </row>
    <row r="228" spans="1:10">
      <c r="A228" s="91">
        <f>A225+H2-1</f>
        <v>6</v>
      </c>
      <c r="B228" s="93" t="s">
        <v>358</v>
      </c>
      <c r="C228" s="93" t="s">
        <v>331</v>
      </c>
      <c r="D228" s="65">
        <f>D225+H2-1</f>
        <v>4101</v>
      </c>
      <c r="E228" s="65">
        <v>2</v>
      </c>
      <c r="F228" s="65" t="s">
        <v>85</v>
      </c>
      <c r="G228" s="93" t="s">
        <v>356</v>
      </c>
      <c r="H228" s="65" t="s">
        <v>23</v>
      </c>
      <c r="I228" s="65" t="s">
        <v>333</v>
      </c>
      <c r="J228" s="109"/>
    </row>
    <row r="229" spans="1:10">
      <c r="A229" s="91">
        <f>A228+1</f>
        <v>7</v>
      </c>
      <c r="B229" s="93" t="s">
        <v>359</v>
      </c>
      <c r="C229" s="93" t="s">
        <v>331</v>
      </c>
      <c r="D229" s="65">
        <f>D228+1</f>
        <v>4102</v>
      </c>
      <c r="E229" s="65">
        <v>2</v>
      </c>
      <c r="F229" s="65" t="s">
        <v>85</v>
      </c>
      <c r="G229" s="93" t="s">
        <v>356</v>
      </c>
      <c r="H229" s="65" t="s">
        <v>23</v>
      </c>
      <c r="I229" s="65" t="s">
        <v>333</v>
      </c>
      <c r="J229" s="109"/>
    </row>
    <row r="230" spans="1:10">
      <c r="A230" s="58" t="s">
        <v>58</v>
      </c>
      <c r="B230" s="59" t="s">
        <v>58</v>
      </c>
      <c r="C230" s="59"/>
      <c r="D230" s="60" t="s">
        <v>58</v>
      </c>
      <c r="E230" s="60" t="s">
        <v>58</v>
      </c>
      <c r="F230" s="60" t="s">
        <v>58</v>
      </c>
      <c r="G230" s="61" t="s">
        <v>58</v>
      </c>
      <c r="H230" s="60" t="s">
        <v>58</v>
      </c>
      <c r="I230" s="60" t="s">
        <v>58</v>
      </c>
      <c r="J230" s="87"/>
    </row>
    <row r="231" spans="1:10">
      <c r="A231" s="91">
        <f>A229+J2-1</f>
        <v>8</v>
      </c>
      <c r="B231" s="93" t="s">
        <v>360</v>
      </c>
      <c r="C231" s="93" t="s">
        <v>331</v>
      </c>
      <c r="D231" s="65">
        <f>D229+J2-1</f>
        <v>4103</v>
      </c>
      <c r="E231" s="65">
        <v>2</v>
      </c>
      <c r="F231" s="65" t="s">
        <v>85</v>
      </c>
      <c r="G231" s="93" t="s">
        <v>356</v>
      </c>
      <c r="H231" s="65" t="s">
        <v>23</v>
      </c>
      <c r="I231" s="65" t="s">
        <v>333</v>
      </c>
      <c r="J231" s="109"/>
    </row>
    <row r="232" spans="1:10">
      <c r="A232" s="100">
        <f>A231+1</f>
        <v>9</v>
      </c>
      <c r="B232" s="101" t="s">
        <v>361</v>
      </c>
      <c r="C232" s="101" t="s">
        <v>331</v>
      </c>
      <c r="D232" s="102">
        <f>D231+1</f>
        <v>4104</v>
      </c>
      <c r="E232" s="102">
        <v>2</v>
      </c>
      <c r="F232" s="102" t="s">
        <v>85</v>
      </c>
      <c r="G232" s="101" t="s">
        <v>356</v>
      </c>
      <c r="H232" s="102" t="s">
        <v>23</v>
      </c>
      <c r="I232" s="102" t="s">
        <v>338</v>
      </c>
      <c r="J232" s="112"/>
    </row>
    <row r="233" spans="1:10">
      <c r="A233" s="100">
        <f>A232+1</f>
        <v>10</v>
      </c>
      <c r="B233" s="101" t="s">
        <v>362</v>
      </c>
      <c r="C233" s="101" t="s">
        <v>331</v>
      </c>
      <c r="D233" s="102">
        <f>D232+1</f>
        <v>4105</v>
      </c>
      <c r="E233" s="102">
        <v>2</v>
      </c>
      <c r="F233" s="102" t="s">
        <v>85</v>
      </c>
      <c r="G233" s="101" t="s">
        <v>356</v>
      </c>
      <c r="H233" s="102" t="s">
        <v>23</v>
      </c>
      <c r="I233" s="102" t="s">
        <v>338</v>
      </c>
      <c r="J233" s="112"/>
    </row>
    <row r="234" spans="1:10">
      <c r="A234" s="100" t="s">
        <v>58</v>
      </c>
      <c r="B234" s="101" t="s">
        <v>58</v>
      </c>
      <c r="C234" s="101"/>
      <c r="D234" s="102" t="s">
        <v>58</v>
      </c>
      <c r="E234" s="102" t="s">
        <v>58</v>
      </c>
      <c r="F234" s="102" t="s">
        <v>58</v>
      </c>
      <c r="G234" s="101" t="s">
        <v>58</v>
      </c>
      <c r="H234" s="102" t="s">
        <v>58</v>
      </c>
      <c r="I234" s="102" t="s">
        <v>58</v>
      </c>
      <c r="J234" s="112"/>
    </row>
    <row r="235" spans="1:10">
      <c r="A235" s="100">
        <f>A232+H2-1</f>
        <v>14</v>
      </c>
      <c r="B235" s="101" t="s">
        <v>363</v>
      </c>
      <c r="C235" s="101" t="s">
        <v>331</v>
      </c>
      <c r="D235" s="102">
        <f>D232+H2-1</f>
        <v>4109</v>
      </c>
      <c r="E235" s="102">
        <v>2</v>
      </c>
      <c r="F235" s="102" t="s">
        <v>85</v>
      </c>
      <c r="G235" s="101" t="s">
        <v>356</v>
      </c>
      <c r="H235" s="102" t="s">
        <v>23</v>
      </c>
      <c r="I235" s="102" t="s">
        <v>341</v>
      </c>
      <c r="J235" s="112"/>
    </row>
    <row r="236" spans="1:10">
      <c r="A236" s="100">
        <f>A235+1</f>
        <v>15</v>
      </c>
      <c r="B236" s="101" t="s">
        <v>364</v>
      </c>
      <c r="C236" s="101" t="s">
        <v>331</v>
      </c>
      <c r="D236" s="102">
        <f>D235+1</f>
        <v>4110</v>
      </c>
      <c r="E236" s="102">
        <v>2</v>
      </c>
      <c r="F236" s="102" t="s">
        <v>85</v>
      </c>
      <c r="G236" s="101" t="s">
        <v>356</v>
      </c>
      <c r="H236" s="102" t="s">
        <v>23</v>
      </c>
      <c r="I236" s="102" t="s">
        <v>341</v>
      </c>
      <c r="J236" s="112"/>
    </row>
    <row r="237" spans="1:10">
      <c r="A237" s="100" t="s">
        <v>58</v>
      </c>
      <c r="B237" s="101" t="s">
        <v>58</v>
      </c>
      <c r="C237" s="101"/>
      <c r="D237" s="102" t="s">
        <v>58</v>
      </c>
      <c r="E237" s="102" t="s">
        <v>58</v>
      </c>
      <c r="F237" s="102" t="s">
        <v>58</v>
      </c>
      <c r="G237" s="101" t="s">
        <v>58</v>
      </c>
      <c r="H237" s="102" t="s">
        <v>58</v>
      </c>
      <c r="I237" s="102" t="s">
        <v>58</v>
      </c>
      <c r="J237" s="112"/>
    </row>
    <row r="238" spans="1:10">
      <c r="A238" s="100">
        <f>A236+J2-1</f>
        <v>16</v>
      </c>
      <c r="B238" s="101" t="s">
        <v>365</v>
      </c>
      <c r="C238" s="101" t="s">
        <v>331</v>
      </c>
      <c r="D238" s="102">
        <f>D236+J2-1</f>
        <v>4111</v>
      </c>
      <c r="E238" s="102">
        <v>2</v>
      </c>
      <c r="F238" s="102" t="s">
        <v>85</v>
      </c>
      <c r="G238" s="101" t="s">
        <v>356</v>
      </c>
      <c r="H238" s="102" t="s">
        <v>23</v>
      </c>
      <c r="I238" s="102" t="s">
        <v>341</v>
      </c>
      <c r="J238" s="112"/>
    </row>
    <row r="239" spans="1:10">
      <c r="A239" s="121" t="s">
        <v>343</v>
      </c>
      <c r="B239" s="122"/>
      <c r="C239" s="122"/>
      <c r="D239" s="122"/>
      <c r="E239" s="122"/>
      <c r="F239" s="122"/>
      <c r="G239" s="122"/>
      <c r="H239" s="122"/>
      <c r="I239" s="122"/>
      <c r="J239" s="124"/>
    </row>
    <row r="240" spans="1:10">
      <c r="A240" s="91">
        <f>(F2-2)*(H2+J2)+A225</f>
        <v>145</v>
      </c>
      <c r="B240" s="93" t="s">
        <v>366</v>
      </c>
      <c r="C240" s="93" t="s">
        <v>331</v>
      </c>
      <c r="D240" s="65">
        <f>(F2-2)*(H2+J2)+D225</f>
        <v>4240</v>
      </c>
      <c r="E240" s="65">
        <v>2</v>
      </c>
      <c r="F240" s="65" t="s">
        <v>85</v>
      </c>
      <c r="G240" s="93" t="s">
        <v>356</v>
      </c>
      <c r="H240" s="65" t="s">
        <v>23</v>
      </c>
      <c r="I240" s="65" t="s">
        <v>345</v>
      </c>
      <c r="J240" s="109"/>
    </row>
    <row r="241" spans="1:10">
      <c r="A241" s="91">
        <f>A240+1</f>
        <v>146</v>
      </c>
      <c r="B241" s="93" t="s">
        <v>367</v>
      </c>
      <c r="C241" s="93" t="s">
        <v>331</v>
      </c>
      <c r="D241" s="65">
        <f>D240+1</f>
        <v>4241</v>
      </c>
      <c r="E241" s="65">
        <v>2</v>
      </c>
      <c r="F241" s="65" t="s">
        <v>85</v>
      </c>
      <c r="G241" s="93" t="s">
        <v>356</v>
      </c>
      <c r="H241" s="65" t="s">
        <v>23</v>
      </c>
      <c r="I241" s="65" t="s">
        <v>345</v>
      </c>
      <c r="J241" s="109"/>
    </row>
    <row r="242" spans="1:10">
      <c r="A242" s="58" t="s">
        <v>58</v>
      </c>
      <c r="B242" s="59" t="s">
        <v>58</v>
      </c>
      <c r="C242" s="59"/>
      <c r="D242" s="60" t="s">
        <v>58</v>
      </c>
      <c r="E242" s="60" t="s">
        <v>58</v>
      </c>
      <c r="F242" s="60" t="s">
        <v>58</v>
      </c>
      <c r="G242" s="61" t="s">
        <v>58</v>
      </c>
      <c r="H242" s="60" t="s">
        <v>58</v>
      </c>
      <c r="I242" s="60" t="s">
        <v>58</v>
      </c>
      <c r="J242" s="87"/>
    </row>
    <row r="243" spans="1:10">
      <c r="A243" s="91">
        <f>A240+H2-1</f>
        <v>150</v>
      </c>
      <c r="B243" s="93" t="s">
        <v>368</v>
      </c>
      <c r="C243" s="93" t="s">
        <v>331</v>
      </c>
      <c r="D243" s="65">
        <f>D240+H2-1</f>
        <v>4245</v>
      </c>
      <c r="E243" s="65">
        <v>2</v>
      </c>
      <c r="F243" s="65" t="s">
        <v>85</v>
      </c>
      <c r="G243" s="93" t="s">
        <v>356</v>
      </c>
      <c r="H243" s="65" t="s">
        <v>23</v>
      </c>
      <c r="I243" s="65" t="s">
        <v>345</v>
      </c>
      <c r="J243" s="109"/>
    </row>
    <row r="244" spans="1:10">
      <c r="A244" s="91">
        <f>A243+1</f>
        <v>151</v>
      </c>
      <c r="B244" s="93" t="s">
        <v>369</v>
      </c>
      <c r="C244" s="93" t="s">
        <v>331</v>
      </c>
      <c r="D244" s="65">
        <f>D243+1</f>
        <v>4246</v>
      </c>
      <c r="E244" s="65">
        <v>2</v>
      </c>
      <c r="F244" s="65" t="s">
        <v>85</v>
      </c>
      <c r="G244" s="93" t="s">
        <v>356</v>
      </c>
      <c r="H244" s="65" t="s">
        <v>23</v>
      </c>
      <c r="I244" s="65" t="s">
        <v>345</v>
      </c>
      <c r="J244" s="109"/>
    </row>
    <row r="245" spans="1:10">
      <c r="A245" s="58" t="s">
        <v>58</v>
      </c>
      <c r="B245" s="59" t="s">
        <v>58</v>
      </c>
      <c r="C245" s="59"/>
      <c r="D245" s="60" t="s">
        <v>58</v>
      </c>
      <c r="E245" s="60" t="s">
        <v>58</v>
      </c>
      <c r="F245" s="60" t="s">
        <v>58</v>
      </c>
      <c r="G245" s="61" t="s">
        <v>58</v>
      </c>
      <c r="H245" s="60" t="s">
        <v>58</v>
      </c>
      <c r="I245" s="60" t="s">
        <v>58</v>
      </c>
      <c r="J245" s="87"/>
    </row>
    <row r="246" spans="1:10">
      <c r="A246" s="91">
        <f>A244+J2-1</f>
        <v>152</v>
      </c>
      <c r="B246" s="93" t="s">
        <v>370</v>
      </c>
      <c r="C246" s="93" t="s">
        <v>331</v>
      </c>
      <c r="D246" s="65">
        <f>D244+J2-1</f>
        <v>4247</v>
      </c>
      <c r="E246" s="65">
        <v>2</v>
      </c>
      <c r="F246" s="65" t="s">
        <v>85</v>
      </c>
      <c r="G246" s="93" t="s">
        <v>356</v>
      </c>
      <c r="H246" s="65" t="s">
        <v>23</v>
      </c>
      <c r="I246" s="65" t="s">
        <v>345</v>
      </c>
      <c r="J246" s="109"/>
    </row>
    <row r="247" spans="1:10">
      <c r="A247" s="100">
        <f>(F2-1)*(H2+J2)+A225</f>
        <v>153</v>
      </c>
      <c r="B247" s="101" t="s">
        <v>371</v>
      </c>
      <c r="C247" s="101" t="s">
        <v>331</v>
      </c>
      <c r="D247" s="102">
        <f>(F2-1)*(H2+J2)+D225</f>
        <v>4248</v>
      </c>
      <c r="E247" s="102">
        <v>2</v>
      </c>
      <c r="F247" s="102" t="s">
        <v>85</v>
      </c>
      <c r="G247" s="101" t="s">
        <v>356</v>
      </c>
      <c r="H247" s="102" t="s">
        <v>23</v>
      </c>
      <c r="I247" s="102" t="s">
        <v>350</v>
      </c>
      <c r="J247" s="112"/>
    </row>
    <row r="248" spans="1:10">
      <c r="A248" s="100">
        <f>A247+1</f>
        <v>154</v>
      </c>
      <c r="B248" s="101" t="s">
        <v>372</v>
      </c>
      <c r="C248" s="101" t="s">
        <v>331</v>
      </c>
      <c r="D248" s="102">
        <f>D247+1</f>
        <v>4249</v>
      </c>
      <c r="E248" s="102">
        <v>2</v>
      </c>
      <c r="F248" s="102" t="s">
        <v>85</v>
      </c>
      <c r="G248" s="101" t="s">
        <v>356</v>
      </c>
      <c r="H248" s="102" t="s">
        <v>23</v>
      </c>
      <c r="I248" s="102" t="s">
        <v>350</v>
      </c>
      <c r="J248" s="112"/>
    </row>
    <row r="249" spans="1:10">
      <c r="A249" s="100" t="s">
        <v>58</v>
      </c>
      <c r="B249" s="101" t="s">
        <v>58</v>
      </c>
      <c r="C249" s="101"/>
      <c r="D249" s="102" t="s">
        <v>58</v>
      </c>
      <c r="E249" s="102" t="s">
        <v>58</v>
      </c>
      <c r="F249" s="102" t="s">
        <v>58</v>
      </c>
      <c r="G249" s="101" t="s">
        <v>58</v>
      </c>
      <c r="H249" s="102" t="s">
        <v>58</v>
      </c>
      <c r="I249" s="102" t="s">
        <v>58</v>
      </c>
      <c r="J249" s="112"/>
    </row>
    <row r="250" spans="1:10">
      <c r="A250" s="100">
        <f>A247+H2-1</f>
        <v>158</v>
      </c>
      <c r="B250" s="101" t="s">
        <v>373</v>
      </c>
      <c r="C250" s="101" t="s">
        <v>331</v>
      </c>
      <c r="D250" s="102">
        <f>D247+H2-1</f>
        <v>4253</v>
      </c>
      <c r="E250" s="102">
        <v>2</v>
      </c>
      <c r="F250" s="102" t="s">
        <v>85</v>
      </c>
      <c r="G250" s="101" t="s">
        <v>356</v>
      </c>
      <c r="H250" s="102" t="s">
        <v>23</v>
      </c>
      <c r="I250" s="102" t="s">
        <v>350</v>
      </c>
      <c r="J250" s="112"/>
    </row>
    <row r="251" spans="1:10">
      <c r="A251" s="100">
        <f>A250+1</f>
        <v>159</v>
      </c>
      <c r="B251" s="101" t="s">
        <v>374</v>
      </c>
      <c r="C251" s="101" t="s">
        <v>331</v>
      </c>
      <c r="D251" s="102">
        <f>D250+1</f>
        <v>4254</v>
      </c>
      <c r="E251" s="102">
        <v>2</v>
      </c>
      <c r="F251" s="102" t="s">
        <v>85</v>
      </c>
      <c r="G251" s="101" t="s">
        <v>356</v>
      </c>
      <c r="H251" s="102" t="s">
        <v>23</v>
      </c>
      <c r="I251" s="102" t="s">
        <v>350</v>
      </c>
      <c r="J251" s="112"/>
    </row>
    <row r="252" spans="1:10">
      <c r="A252" s="100" t="s">
        <v>58</v>
      </c>
      <c r="B252" s="101" t="s">
        <v>58</v>
      </c>
      <c r="C252" s="101"/>
      <c r="D252" s="102" t="s">
        <v>58</v>
      </c>
      <c r="E252" s="102" t="s">
        <v>58</v>
      </c>
      <c r="F252" s="102" t="s">
        <v>58</v>
      </c>
      <c r="G252" s="101" t="s">
        <v>58</v>
      </c>
      <c r="H252" s="102" t="s">
        <v>58</v>
      </c>
      <c r="I252" s="102" t="s">
        <v>58</v>
      </c>
      <c r="J252" s="112"/>
    </row>
    <row r="253" spans="1:10">
      <c r="A253" s="100">
        <f>A251+J2-1</f>
        <v>160</v>
      </c>
      <c r="B253" s="101" t="s">
        <v>375</v>
      </c>
      <c r="C253" s="101" t="s">
        <v>331</v>
      </c>
      <c r="D253" s="102">
        <f>D251+J2-1</f>
        <v>4255</v>
      </c>
      <c r="E253" s="102">
        <v>2</v>
      </c>
      <c r="F253" s="102" t="s">
        <v>85</v>
      </c>
      <c r="G253" s="101" t="s">
        <v>356</v>
      </c>
      <c r="H253" s="102" t="s">
        <v>23</v>
      </c>
      <c r="I253" s="102" t="s">
        <v>350</v>
      </c>
      <c r="J253" s="112"/>
    </row>
    <row r="254" spans="1:10">
      <c r="A254" s="91"/>
      <c r="B254" s="93"/>
      <c r="C254" s="93"/>
      <c r="D254" s="65"/>
      <c r="E254" s="65"/>
      <c r="F254" s="65"/>
      <c r="G254" s="65"/>
      <c r="H254" s="65"/>
      <c r="I254" s="65"/>
      <c r="J254" s="109"/>
    </row>
    <row r="255" spans="1:10">
      <c r="A255" s="63" t="s">
        <v>376</v>
      </c>
      <c r="B255" s="64"/>
      <c r="C255" s="64"/>
      <c r="D255" s="64"/>
      <c r="E255" s="64"/>
      <c r="F255" s="64"/>
      <c r="G255" s="64"/>
      <c r="H255" s="64"/>
      <c r="I255" s="64"/>
      <c r="J255" s="88"/>
    </row>
    <row r="256" spans="1:10">
      <c r="A256" s="114">
        <v>1</v>
      </c>
      <c r="B256" s="115" t="s">
        <v>377</v>
      </c>
      <c r="C256" s="57" t="s">
        <v>331</v>
      </c>
      <c r="D256" s="71">
        <v>5374</v>
      </c>
      <c r="E256" s="71">
        <v>2</v>
      </c>
      <c r="F256" s="71" t="s">
        <v>85</v>
      </c>
      <c r="G256" s="53" t="s">
        <v>356</v>
      </c>
      <c r="H256" s="71" t="s">
        <v>23</v>
      </c>
      <c r="I256" s="70" t="s">
        <v>24</v>
      </c>
      <c r="J256" s="118" t="s">
        <v>378</v>
      </c>
    </row>
    <row r="257" spans="1:10">
      <c r="A257" s="114">
        <v>2</v>
      </c>
      <c r="B257" s="115" t="s">
        <v>379</v>
      </c>
      <c r="C257" s="57" t="s">
        <v>331</v>
      </c>
      <c r="D257" s="71">
        <v>5375</v>
      </c>
      <c r="E257" s="71">
        <v>2</v>
      </c>
      <c r="F257" s="71" t="s">
        <v>21</v>
      </c>
      <c r="G257" s="53">
        <v>1</v>
      </c>
      <c r="H257" s="71" t="s">
        <v>23</v>
      </c>
      <c r="I257" s="70" t="s">
        <v>24</v>
      </c>
      <c r="J257" s="118"/>
    </row>
    <row r="258" spans="1:10">
      <c r="A258" s="91">
        <v>3</v>
      </c>
      <c r="B258" s="77" t="s">
        <v>380</v>
      </c>
      <c r="C258" s="93" t="s">
        <v>331</v>
      </c>
      <c r="D258" s="67">
        <v>5376</v>
      </c>
      <c r="E258" s="67">
        <v>2</v>
      </c>
      <c r="F258" s="67" t="s">
        <v>21</v>
      </c>
      <c r="G258" s="62" t="s">
        <v>332</v>
      </c>
      <c r="H258" s="67" t="s">
        <v>23</v>
      </c>
      <c r="I258" s="65" t="s">
        <v>24</v>
      </c>
      <c r="J258" s="109" t="s">
        <v>216</v>
      </c>
    </row>
    <row r="259" spans="1:10">
      <c r="A259" s="91">
        <v>4</v>
      </c>
      <c r="B259" s="77" t="s">
        <v>381</v>
      </c>
      <c r="C259" s="93" t="s">
        <v>331</v>
      </c>
      <c r="D259" s="67">
        <v>5377</v>
      </c>
      <c r="E259" s="67">
        <v>2</v>
      </c>
      <c r="F259" s="67" t="s">
        <v>21</v>
      </c>
      <c r="G259" s="62">
        <v>1</v>
      </c>
      <c r="H259" s="67" t="s">
        <v>23</v>
      </c>
      <c r="I259" s="65" t="s">
        <v>24</v>
      </c>
      <c r="J259" s="109"/>
    </row>
    <row r="260" spans="1:10">
      <c r="A260" s="91">
        <v>5</v>
      </c>
      <c r="B260" s="77" t="s">
        <v>382</v>
      </c>
      <c r="C260" s="93" t="s">
        <v>331</v>
      </c>
      <c r="D260" s="67">
        <v>5378</v>
      </c>
      <c r="E260" s="67">
        <v>2</v>
      </c>
      <c r="F260" s="67" t="s">
        <v>21</v>
      </c>
      <c r="G260" s="62" t="s">
        <v>332</v>
      </c>
      <c r="H260" s="67" t="s">
        <v>23</v>
      </c>
      <c r="I260" s="65" t="s">
        <v>24</v>
      </c>
      <c r="J260" s="109"/>
    </row>
    <row r="261" spans="1:10">
      <c r="A261" s="91">
        <v>6</v>
      </c>
      <c r="B261" s="77" t="s">
        <v>383</v>
      </c>
      <c r="C261" s="93" t="s">
        <v>331</v>
      </c>
      <c r="D261" s="67">
        <v>5379</v>
      </c>
      <c r="E261" s="67">
        <v>2</v>
      </c>
      <c r="F261" s="67" t="s">
        <v>21</v>
      </c>
      <c r="G261" s="62">
        <v>1</v>
      </c>
      <c r="H261" s="67" t="s">
        <v>23</v>
      </c>
      <c r="I261" s="65" t="s">
        <v>24</v>
      </c>
      <c r="J261" s="109"/>
    </row>
    <row r="262" spans="1:10">
      <c r="A262" s="91">
        <v>7</v>
      </c>
      <c r="B262" s="77" t="s">
        <v>384</v>
      </c>
      <c r="C262" s="93" t="s">
        <v>331</v>
      </c>
      <c r="D262" s="67">
        <v>5380</v>
      </c>
      <c r="E262" s="67">
        <v>2</v>
      </c>
      <c r="F262" s="67" t="s">
        <v>85</v>
      </c>
      <c r="G262" s="62" t="s">
        <v>356</v>
      </c>
      <c r="H262" s="67" t="s">
        <v>23</v>
      </c>
      <c r="I262" s="65" t="s">
        <v>24</v>
      </c>
      <c r="J262" s="109"/>
    </row>
    <row r="263" spans="1:10">
      <c r="A263" s="91">
        <v>8</v>
      </c>
      <c r="B263" s="77" t="s">
        <v>385</v>
      </c>
      <c r="C263" s="93" t="s">
        <v>331</v>
      </c>
      <c r="D263" s="67">
        <v>5381</v>
      </c>
      <c r="E263" s="67">
        <v>2</v>
      </c>
      <c r="F263" s="67" t="s">
        <v>21</v>
      </c>
      <c r="G263" s="62">
        <v>1</v>
      </c>
      <c r="H263" s="67" t="s">
        <v>23</v>
      </c>
      <c r="I263" s="65" t="s">
        <v>24</v>
      </c>
      <c r="J263" s="109"/>
    </row>
    <row r="264" spans="1:10">
      <c r="A264" s="91">
        <v>9</v>
      </c>
      <c r="B264" s="77" t="s">
        <v>386</v>
      </c>
      <c r="C264" s="93" t="s">
        <v>331</v>
      </c>
      <c r="D264" s="67">
        <v>5382</v>
      </c>
      <c r="E264" s="67">
        <v>2</v>
      </c>
      <c r="F264" s="67" t="s">
        <v>85</v>
      </c>
      <c r="G264" s="62" t="s">
        <v>356</v>
      </c>
      <c r="H264" s="67" t="s">
        <v>23</v>
      </c>
      <c r="I264" s="65" t="s">
        <v>24</v>
      </c>
      <c r="J264" s="109"/>
    </row>
    <row r="265" spans="1:10">
      <c r="A265" s="91">
        <v>10</v>
      </c>
      <c r="B265" s="77" t="s">
        <v>387</v>
      </c>
      <c r="C265" s="93" t="s">
        <v>331</v>
      </c>
      <c r="D265" s="67">
        <v>5383</v>
      </c>
      <c r="E265" s="67">
        <v>2</v>
      </c>
      <c r="F265" s="67" t="s">
        <v>21</v>
      </c>
      <c r="G265" s="62">
        <v>1</v>
      </c>
      <c r="H265" s="67" t="s">
        <v>23</v>
      </c>
      <c r="I265" s="65" t="s">
        <v>24</v>
      </c>
      <c r="J265" s="109"/>
    </row>
    <row r="266" spans="1:10">
      <c r="A266" s="91">
        <v>11</v>
      </c>
      <c r="B266" s="77" t="s">
        <v>388</v>
      </c>
      <c r="C266" s="93" t="s">
        <v>331</v>
      </c>
      <c r="D266" s="67">
        <v>5384</v>
      </c>
      <c r="E266" s="67">
        <v>2</v>
      </c>
      <c r="F266" s="67" t="s">
        <v>85</v>
      </c>
      <c r="G266" s="62" t="s">
        <v>356</v>
      </c>
      <c r="H266" s="67" t="s">
        <v>23</v>
      </c>
      <c r="I266" s="65" t="s">
        <v>24</v>
      </c>
      <c r="J266" s="109"/>
    </row>
    <row r="267" spans="1:10">
      <c r="A267" s="91">
        <v>12</v>
      </c>
      <c r="B267" s="77" t="s">
        <v>389</v>
      </c>
      <c r="C267" s="93" t="s">
        <v>331</v>
      </c>
      <c r="D267" s="67">
        <v>5385</v>
      </c>
      <c r="E267" s="67">
        <v>2</v>
      </c>
      <c r="F267" s="67" t="s">
        <v>21</v>
      </c>
      <c r="G267" s="62">
        <v>1</v>
      </c>
      <c r="H267" s="67" t="s">
        <v>23</v>
      </c>
      <c r="I267" s="65" t="s">
        <v>24</v>
      </c>
      <c r="J267" s="109"/>
    </row>
    <row r="268" spans="1:10">
      <c r="A268" s="91">
        <v>13</v>
      </c>
      <c r="B268" s="77" t="s">
        <v>390</v>
      </c>
      <c r="C268" s="93" t="s">
        <v>331</v>
      </c>
      <c r="D268" s="67">
        <v>5386</v>
      </c>
      <c r="E268" s="67">
        <v>2</v>
      </c>
      <c r="F268" s="67" t="s">
        <v>21</v>
      </c>
      <c r="G268" s="62" t="s">
        <v>332</v>
      </c>
      <c r="H268" s="67" t="s">
        <v>23</v>
      </c>
      <c r="I268" s="65" t="s">
        <v>24</v>
      </c>
      <c r="J268" s="109"/>
    </row>
    <row r="269" spans="1:10">
      <c r="A269" s="91">
        <v>14</v>
      </c>
      <c r="B269" s="77" t="s">
        <v>391</v>
      </c>
      <c r="C269" s="93" t="s">
        <v>331</v>
      </c>
      <c r="D269" s="67">
        <v>5387</v>
      </c>
      <c r="E269" s="67">
        <v>2</v>
      </c>
      <c r="F269" s="67" t="s">
        <v>85</v>
      </c>
      <c r="G269" s="62" t="s">
        <v>356</v>
      </c>
      <c r="H269" s="67" t="s">
        <v>23</v>
      </c>
      <c r="I269" s="65" t="s">
        <v>24</v>
      </c>
      <c r="J269" s="109"/>
    </row>
    <row r="270" spans="1:10">
      <c r="A270" s="91">
        <v>15</v>
      </c>
      <c r="B270" s="77" t="s">
        <v>392</v>
      </c>
      <c r="C270" s="93" t="s">
        <v>331</v>
      </c>
      <c r="D270" s="67">
        <v>5388</v>
      </c>
      <c r="E270" s="67">
        <v>2</v>
      </c>
      <c r="F270" s="67" t="s">
        <v>21</v>
      </c>
      <c r="G270" s="62" t="s">
        <v>356</v>
      </c>
      <c r="H270" s="67" t="s">
        <v>23</v>
      </c>
      <c r="I270" s="65" t="s">
        <v>24</v>
      </c>
      <c r="J270" s="109"/>
    </row>
    <row r="271" spans="1:10">
      <c r="A271" s="91">
        <v>16</v>
      </c>
      <c r="B271" s="77" t="s">
        <v>393</v>
      </c>
      <c r="C271" s="93" t="s">
        <v>331</v>
      </c>
      <c r="D271" s="67">
        <v>5389</v>
      </c>
      <c r="E271" s="67">
        <v>2</v>
      </c>
      <c r="F271" s="67" t="s">
        <v>21</v>
      </c>
      <c r="G271" s="62">
        <v>1</v>
      </c>
      <c r="H271" s="67" t="s">
        <v>23</v>
      </c>
      <c r="I271" s="65" t="s">
        <v>24</v>
      </c>
      <c r="J271" s="109"/>
    </row>
    <row r="272" spans="1:10">
      <c r="A272" s="91">
        <v>17</v>
      </c>
      <c r="B272" s="93" t="s">
        <v>394</v>
      </c>
      <c r="C272" s="93" t="s">
        <v>331</v>
      </c>
      <c r="D272" s="67">
        <v>5390</v>
      </c>
      <c r="E272" s="67">
        <v>2</v>
      </c>
      <c r="F272" s="67" t="s">
        <v>21</v>
      </c>
      <c r="G272" s="62" t="s">
        <v>395</v>
      </c>
      <c r="H272" s="67" t="s">
        <v>23</v>
      </c>
      <c r="I272" s="65" t="s">
        <v>24</v>
      </c>
      <c r="J272" s="109"/>
    </row>
    <row r="273" spans="1:10">
      <c r="A273" s="91">
        <v>18</v>
      </c>
      <c r="B273" s="93" t="s">
        <v>396</v>
      </c>
      <c r="C273" s="93" t="s">
        <v>331</v>
      </c>
      <c r="D273" s="67">
        <v>5391</v>
      </c>
      <c r="E273" s="67">
        <v>2</v>
      </c>
      <c r="F273" s="67" t="s">
        <v>21</v>
      </c>
      <c r="G273" s="62">
        <v>1</v>
      </c>
      <c r="H273" s="67" t="s">
        <v>23</v>
      </c>
      <c r="I273" s="65" t="s">
        <v>24</v>
      </c>
      <c r="J273" s="109"/>
    </row>
    <row r="274" spans="1:10">
      <c r="A274" s="91">
        <v>19</v>
      </c>
      <c r="B274" s="93" t="s">
        <v>397</v>
      </c>
      <c r="C274" s="93" t="s">
        <v>331</v>
      </c>
      <c r="D274" s="67">
        <v>5392</v>
      </c>
      <c r="E274" s="67">
        <v>2</v>
      </c>
      <c r="F274" s="67" t="s">
        <v>21</v>
      </c>
      <c r="G274" s="93" t="s">
        <v>398</v>
      </c>
      <c r="H274" s="67" t="s">
        <v>23</v>
      </c>
      <c r="I274" s="65" t="s">
        <v>24</v>
      </c>
      <c r="J274" s="109"/>
    </row>
    <row r="275" spans="1:10">
      <c r="A275" s="91">
        <v>20</v>
      </c>
      <c r="B275" s="93" t="s">
        <v>399</v>
      </c>
      <c r="C275" s="93" t="s">
        <v>331</v>
      </c>
      <c r="D275" s="67">
        <v>5393</v>
      </c>
      <c r="E275" s="67">
        <v>2</v>
      </c>
      <c r="F275" s="67" t="s">
        <v>21</v>
      </c>
      <c r="G275" s="93" t="s">
        <v>400</v>
      </c>
      <c r="H275" s="67" t="s">
        <v>23</v>
      </c>
      <c r="I275" s="65" t="s">
        <v>24</v>
      </c>
      <c r="J275" s="109"/>
    </row>
    <row r="276" spans="1:10">
      <c r="A276" s="91">
        <v>21</v>
      </c>
      <c r="B276" s="93" t="s">
        <v>401</v>
      </c>
      <c r="C276" s="93" t="s">
        <v>331</v>
      </c>
      <c r="D276" s="67">
        <v>5394</v>
      </c>
      <c r="E276" s="67">
        <v>2</v>
      </c>
      <c r="F276" s="67" t="s">
        <v>21</v>
      </c>
      <c r="G276" s="93" t="s">
        <v>400</v>
      </c>
      <c r="H276" s="67" t="s">
        <v>23</v>
      </c>
      <c r="I276" s="65" t="s">
        <v>24</v>
      </c>
      <c r="J276" s="109"/>
    </row>
    <row r="277" spans="1:10">
      <c r="A277" s="91">
        <v>22</v>
      </c>
      <c r="B277" s="93" t="s">
        <v>402</v>
      </c>
      <c r="C277" s="93" t="s">
        <v>331</v>
      </c>
      <c r="D277" s="67">
        <v>5395</v>
      </c>
      <c r="E277" s="67">
        <v>2</v>
      </c>
      <c r="F277" s="67" t="s">
        <v>21</v>
      </c>
      <c r="G277" s="93" t="s">
        <v>400</v>
      </c>
      <c r="H277" s="67" t="s">
        <v>23</v>
      </c>
      <c r="I277" s="65" t="s">
        <v>24</v>
      </c>
      <c r="J277" s="109"/>
    </row>
    <row r="278" spans="1:10">
      <c r="A278" s="91">
        <v>23</v>
      </c>
      <c r="B278" s="93" t="s">
        <v>403</v>
      </c>
      <c r="C278" s="93" t="s">
        <v>331</v>
      </c>
      <c r="D278" s="67">
        <v>5396</v>
      </c>
      <c r="E278" s="67">
        <v>2</v>
      </c>
      <c r="F278" s="67" t="s">
        <v>85</v>
      </c>
      <c r="G278" s="93" t="s">
        <v>404</v>
      </c>
      <c r="H278" s="67" t="s">
        <v>23</v>
      </c>
      <c r="I278" s="65" t="s">
        <v>24</v>
      </c>
      <c r="J278" s="109"/>
    </row>
    <row r="279" spans="1:10">
      <c r="A279" s="91">
        <v>24</v>
      </c>
      <c r="B279" s="93" t="s">
        <v>405</v>
      </c>
      <c r="C279" s="93" t="s">
        <v>331</v>
      </c>
      <c r="D279" s="67">
        <v>5397</v>
      </c>
      <c r="E279" s="67">
        <v>2</v>
      </c>
      <c r="F279" s="67" t="s">
        <v>85</v>
      </c>
      <c r="G279" s="93" t="s">
        <v>406</v>
      </c>
      <c r="H279" s="67" t="s">
        <v>23</v>
      </c>
      <c r="I279" s="65" t="s">
        <v>24</v>
      </c>
      <c r="J279" s="109"/>
    </row>
    <row r="280" spans="1:10">
      <c r="A280" s="91">
        <v>25</v>
      </c>
      <c r="B280" s="93" t="s">
        <v>407</v>
      </c>
      <c r="C280" s="93" t="s">
        <v>331</v>
      </c>
      <c r="D280" s="67">
        <v>5398</v>
      </c>
      <c r="E280" s="67">
        <v>2</v>
      </c>
      <c r="F280" s="67" t="s">
        <v>85</v>
      </c>
      <c r="G280" s="62" t="s">
        <v>162</v>
      </c>
      <c r="H280" s="67" t="s">
        <v>23</v>
      </c>
      <c r="I280" s="65" t="s">
        <v>24</v>
      </c>
      <c r="J280" s="109"/>
    </row>
    <row r="281" spans="1:10">
      <c r="A281" s="114">
        <v>26</v>
      </c>
      <c r="B281" s="57" t="s">
        <v>408</v>
      </c>
      <c r="C281" s="57" t="s">
        <v>331</v>
      </c>
      <c r="D281" s="71">
        <v>5399</v>
      </c>
      <c r="E281" s="71">
        <v>2</v>
      </c>
      <c r="F281" s="71" t="s">
        <v>85</v>
      </c>
      <c r="G281" s="53" t="s">
        <v>356</v>
      </c>
      <c r="H281" s="71" t="s">
        <v>23</v>
      </c>
      <c r="I281" s="70" t="s">
        <v>24</v>
      </c>
      <c r="J281" s="109"/>
    </row>
    <row r="282" spans="1:10">
      <c r="A282" s="114">
        <v>27</v>
      </c>
      <c r="B282" s="57" t="s">
        <v>409</v>
      </c>
      <c r="C282" s="57" t="s">
        <v>331</v>
      </c>
      <c r="D282" s="71">
        <v>5400</v>
      </c>
      <c r="E282" s="71">
        <v>2</v>
      </c>
      <c r="F282" s="71" t="s">
        <v>85</v>
      </c>
      <c r="G282" s="53" t="s">
        <v>356</v>
      </c>
      <c r="H282" s="71" t="s">
        <v>23</v>
      </c>
      <c r="I282" s="70" t="s">
        <v>24</v>
      </c>
      <c r="J282" s="109"/>
    </row>
    <row r="283" spans="1:10">
      <c r="A283" s="114">
        <v>28</v>
      </c>
      <c r="B283" s="57" t="s">
        <v>410</v>
      </c>
      <c r="C283" s="57" t="s">
        <v>331</v>
      </c>
      <c r="D283" s="71">
        <v>5401</v>
      </c>
      <c r="E283" s="71">
        <v>2</v>
      </c>
      <c r="F283" s="71" t="s">
        <v>85</v>
      </c>
      <c r="G283" s="53" t="s">
        <v>356</v>
      </c>
      <c r="H283" s="71" t="s">
        <v>23</v>
      </c>
      <c r="I283" s="70" t="s">
        <v>24</v>
      </c>
      <c r="J283" s="109"/>
    </row>
    <row r="284" spans="1:10">
      <c r="A284" s="114">
        <v>29</v>
      </c>
      <c r="B284" s="57" t="s">
        <v>411</v>
      </c>
      <c r="C284" s="57" t="s">
        <v>331</v>
      </c>
      <c r="D284" s="71">
        <v>5402</v>
      </c>
      <c r="E284" s="71">
        <v>2</v>
      </c>
      <c r="F284" s="71" t="s">
        <v>85</v>
      </c>
      <c r="G284" s="53" t="s">
        <v>356</v>
      </c>
      <c r="H284" s="71" t="s">
        <v>23</v>
      </c>
      <c r="I284" s="70" t="s">
        <v>24</v>
      </c>
      <c r="J284" s="109"/>
    </row>
    <row r="285" spans="1:10">
      <c r="A285" s="114">
        <v>30</v>
      </c>
      <c r="B285" s="57" t="s">
        <v>412</v>
      </c>
      <c r="C285" s="57" t="s">
        <v>331</v>
      </c>
      <c r="D285" s="71">
        <v>5403</v>
      </c>
      <c r="E285" s="71">
        <v>2</v>
      </c>
      <c r="F285" s="71" t="s">
        <v>85</v>
      </c>
      <c r="G285" s="53" t="s">
        <v>356</v>
      </c>
      <c r="H285" s="71" t="s">
        <v>23</v>
      </c>
      <c r="I285" s="70" t="s">
        <v>24</v>
      </c>
      <c r="J285" s="109"/>
    </row>
    <row r="286" spans="1:10">
      <c r="A286" s="114">
        <v>31</v>
      </c>
      <c r="B286" s="93" t="s">
        <v>413</v>
      </c>
      <c r="C286" s="57" t="s">
        <v>331</v>
      </c>
      <c r="D286" s="70">
        <v>5404</v>
      </c>
      <c r="E286" s="70">
        <v>2</v>
      </c>
      <c r="F286" s="70" t="s">
        <v>85</v>
      </c>
      <c r="G286" s="93" t="s">
        <v>406</v>
      </c>
      <c r="H286" s="70" t="s">
        <v>23</v>
      </c>
      <c r="I286" s="70" t="s">
        <v>24</v>
      </c>
      <c r="J286" s="109"/>
    </row>
    <row r="287" spans="1:10">
      <c r="A287" s="91"/>
      <c r="B287" s="93"/>
      <c r="C287" s="93"/>
      <c r="D287" s="65"/>
      <c r="E287" s="65"/>
      <c r="F287" s="65"/>
      <c r="G287" s="65"/>
      <c r="H287" s="65"/>
      <c r="I287" s="65"/>
      <c r="J287" s="109"/>
    </row>
    <row r="288" spans="1:10">
      <c r="A288" s="119" t="s">
        <v>414</v>
      </c>
      <c r="B288" s="120"/>
      <c r="C288" s="120"/>
      <c r="D288" s="120"/>
      <c r="E288" s="120"/>
      <c r="F288" s="120"/>
      <c r="G288" s="120"/>
      <c r="H288" s="120"/>
      <c r="I288" s="120"/>
      <c r="J288" s="123"/>
    </row>
    <row r="289" spans="1:10">
      <c r="A289" s="63" t="s">
        <v>415</v>
      </c>
      <c r="B289" s="64"/>
      <c r="C289" s="64"/>
      <c r="D289" s="64"/>
      <c r="E289" s="64"/>
      <c r="F289" s="64"/>
      <c r="G289" s="64"/>
      <c r="H289" s="64"/>
      <c r="I289" s="64"/>
      <c r="J289" s="88"/>
    </row>
    <row r="290" spans="1:10">
      <c r="A290" s="91">
        <v>1</v>
      </c>
      <c r="B290" s="93" t="s">
        <v>416</v>
      </c>
      <c r="C290" s="93" t="s">
        <v>417</v>
      </c>
      <c r="D290" s="65">
        <v>0</v>
      </c>
      <c r="E290" s="65">
        <v>1</v>
      </c>
      <c r="F290" s="65" t="s">
        <v>418</v>
      </c>
      <c r="G290" s="36" t="s">
        <v>419</v>
      </c>
      <c r="H290" s="65" t="s">
        <v>420</v>
      </c>
      <c r="I290" s="65" t="s">
        <v>24</v>
      </c>
      <c r="J290" s="125" t="s">
        <v>421</v>
      </c>
    </row>
    <row r="291" spans="1:10">
      <c r="A291" s="91">
        <v>2</v>
      </c>
      <c r="B291" s="93" t="s">
        <v>422</v>
      </c>
      <c r="C291" s="93" t="s">
        <v>417</v>
      </c>
      <c r="D291" s="65">
        <v>1</v>
      </c>
      <c r="E291" s="65">
        <v>1</v>
      </c>
      <c r="F291" s="65" t="s">
        <v>418</v>
      </c>
      <c r="G291" s="36" t="s">
        <v>423</v>
      </c>
      <c r="H291" s="65" t="s">
        <v>420</v>
      </c>
      <c r="I291" s="65" t="s">
        <v>24</v>
      </c>
      <c r="J291" s="125" t="s">
        <v>421</v>
      </c>
    </row>
    <row r="292" spans="1:10">
      <c r="A292" s="91">
        <v>3</v>
      </c>
      <c r="B292" s="93" t="s">
        <v>424</v>
      </c>
      <c r="C292" s="93" t="s">
        <v>417</v>
      </c>
      <c r="D292" s="65">
        <v>2</v>
      </c>
      <c r="E292" s="65">
        <v>1</v>
      </c>
      <c r="F292" s="65" t="s">
        <v>418</v>
      </c>
      <c r="G292" s="36" t="s">
        <v>425</v>
      </c>
      <c r="H292" s="65" t="s">
        <v>420</v>
      </c>
      <c r="I292" s="65" t="s">
        <v>24</v>
      </c>
      <c r="J292" s="125" t="s">
        <v>421</v>
      </c>
    </row>
    <row r="293" spans="1:10">
      <c r="A293" s="91">
        <v>4</v>
      </c>
      <c r="B293" s="93" t="s">
        <v>426</v>
      </c>
      <c r="C293" s="93" t="s">
        <v>417</v>
      </c>
      <c r="D293" s="65">
        <v>3</v>
      </c>
      <c r="E293" s="65">
        <v>1</v>
      </c>
      <c r="F293" s="65" t="s">
        <v>418</v>
      </c>
      <c r="G293" s="36" t="s">
        <v>427</v>
      </c>
      <c r="H293" s="65" t="s">
        <v>420</v>
      </c>
      <c r="I293" s="65" t="s">
        <v>24</v>
      </c>
      <c r="J293" s="125" t="s">
        <v>421</v>
      </c>
    </row>
    <row r="294" spans="1:10">
      <c r="A294" s="91">
        <v>5</v>
      </c>
      <c r="B294" s="93" t="s">
        <v>428</v>
      </c>
      <c r="C294" s="93" t="s">
        <v>417</v>
      </c>
      <c r="D294" s="65">
        <v>4</v>
      </c>
      <c r="E294" s="65">
        <v>1</v>
      </c>
      <c r="F294" s="65" t="s">
        <v>418</v>
      </c>
      <c r="G294" s="36" t="s">
        <v>429</v>
      </c>
      <c r="H294" s="65" t="s">
        <v>420</v>
      </c>
      <c r="I294" s="65" t="s">
        <v>24</v>
      </c>
      <c r="J294" s="125" t="s">
        <v>421</v>
      </c>
    </row>
    <row r="295" spans="1:10">
      <c r="A295" s="91">
        <v>6</v>
      </c>
      <c r="B295" s="93" t="s">
        <v>430</v>
      </c>
      <c r="C295" s="93" t="s">
        <v>417</v>
      </c>
      <c r="D295" s="65">
        <v>5</v>
      </c>
      <c r="E295" s="65">
        <v>1</v>
      </c>
      <c r="F295" s="65" t="s">
        <v>418</v>
      </c>
      <c r="G295" s="36" t="s">
        <v>431</v>
      </c>
      <c r="H295" s="65" t="s">
        <v>420</v>
      </c>
      <c r="I295" s="65" t="s">
        <v>24</v>
      </c>
      <c r="J295" s="125" t="s">
        <v>421</v>
      </c>
    </row>
    <row r="296" spans="1:10">
      <c r="A296" s="91">
        <v>7</v>
      </c>
      <c r="B296" s="93" t="s">
        <v>432</v>
      </c>
      <c r="C296" s="93" t="s">
        <v>417</v>
      </c>
      <c r="D296" s="65">
        <v>6</v>
      </c>
      <c r="E296" s="65">
        <v>1</v>
      </c>
      <c r="F296" s="65" t="s">
        <v>418</v>
      </c>
      <c r="G296" s="36" t="s">
        <v>433</v>
      </c>
      <c r="H296" s="65" t="s">
        <v>420</v>
      </c>
      <c r="I296" s="65" t="s">
        <v>24</v>
      </c>
      <c r="J296" s="125" t="s">
        <v>421</v>
      </c>
    </row>
    <row r="297" spans="1:10">
      <c r="A297" s="91">
        <v>8</v>
      </c>
      <c r="B297" s="93" t="s">
        <v>434</v>
      </c>
      <c r="C297" s="93" t="s">
        <v>417</v>
      </c>
      <c r="D297" s="65">
        <v>7</v>
      </c>
      <c r="E297" s="65">
        <v>1</v>
      </c>
      <c r="F297" s="65" t="s">
        <v>418</v>
      </c>
      <c r="G297" s="36" t="s">
        <v>435</v>
      </c>
      <c r="H297" s="65" t="s">
        <v>420</v>
      </c>
      <c r="I297" s="65" t="s">
        <v>24</v>
      </c>
      <c r="J297" s="125" t="s">
        <v>421</v>
      </c>
    </row>
    <row r="298" spans="1:10">
      <c r="A298" s="91">
        <v>9</v>
      </c>
      <c r="B298" s="93" t="s">
        <v>436</v>
      </c>
      <c r="C298" s="93" t="s">
        <v>417</v>
      </c>
      <c r="D298" s="65">
        <v>8</v>
      </c>
      <c r="E298" s="65">
        <v>1</v>
      </c>
      <c r="F298" s="65" t="s">
        <v>418</v>
      </c>
      <c r="G298" s="36" t="s">
        <v>437</v>
      </c>
      <c r="H298" s="65" t="s">
        <v>420</v>
      </c>
      <c r="I298" s="65" t="s">
        <v>24</v>
      </c>
      <c r="J298" s="125" t="s">
        <v>421</v>
      </c>
    </row>
    <row r="299" spans="1:10">
      <c r="A299" s="91">
        <v>10</v>
      </c>
      <c r="B299" s="93" t="s">
        <v>438</v>
      </c>
      <c r="C299" s="93" t="s">
        <v>417</v>
      </c>
      <c r="D299" s="65">
        <v>9</v>
      </c>
      <c r="E299" s="65">
        <v>1</v>
      </c>
      <c r="F299" s="65" t="s">
        <v>418</v>
      </c>
      <c r="G299" s="36" t="s">
        <v>439</v>
      </c>
      <c r="H299" s="65" t="s">
        <v>420</v>
      </c>
      <c r="I299" s="65" t="s">
        <v>24</v>
      </c>
      <c r="J299" s="125" t="s">
        <v>421</v>
      </c>
    </row>
    <row r="300" spans="1:10">
      <c r="A300" s="91">
        <v>11</v>
      </c>
      <c r="B300" s="93" t="s">
        <v>440</v>
      </c>
      <c r="C300" s="93" t="s">
        <v>417</v>
      </c>
      <c r="D300" s="65">
        <v>10</v>
      </c>
      <c r="E300" s="65">
        <v>1</v>
      </c>
      <c r="F300" s="65" t="s">
        <v>418</v>
      </c>
      <c r="G300" s="36" t="s">
        <v>441</v>
      </c>
      <c r="H300" s="65" t="s">
        <v>420</v>
      </c>
      <c r="I300" s="65" t="s">
        <v>24</v>
      </c>
      <c r="J300" s="125" t="s">
        <v>421</v>
      </c>
    </row>
    <row r="301" spans="1:10">
      <c r="A301" s="114">
        <v>12</v>
      </c>
      <c r="B301" s="57" t="s">
        <v>442</v>
      </c>
      <c r="C301" s="57" t="s">
        <v>417</v>
      </c>
      <c r="D301" s="70">
        <v>11</v>
      </c>
      <c r="E301" s="70">
        <v>1</v>
      </c>
      <c r="F301" s="70" t="s">
        <v>418</v>
      </c>
      <c r="G301" s="49" t="s">
        <v>443</v>
      </c>
      <c r="H301" s="70" t="s">
        <v>420</v>
      </c>
      <c r="I301" s="70" t="s">
        <v>24</v>
      </c>
      <c r="J301" s="126" t="s">
        <v>421</v>
      </c>
    </row>
    <row r="302" spans="1:10">
      <c r="A302" s="114">
        <v>13</v>
      </c>
      <c r="B302" s="57" t="s">
        <v>444</v>
      </c>
      <c r="C302" s="57" t="s">
        <v>417</v>
      </c>
      <c r="D302" s="70">
        <v>12</v>
      </c>
      <c r="E302" s="70">
        <v>1</v>
      </c>
      <c r="F302" s="70" t="s">
        <v>418</v>
      </c>
      <c r="G302" s="49" t="s">
        <v>445</v>
      </c>
      <c r="H302" s="70" t="s">
        <v>420</v>
      </c>
      <c r="I302" s="70" t="s">
        <v>24</v>
      </c>
      <c r="J302" s="126" t="s">
        <v>421</v>
      </c>
    </row>
    <row r="303" spans="1:10">
      <c r="A303" s="114">
        <v>14</v>
      </c>
      <c r="B303" s="57" t="s">
        <v>446</v>
      </c>
      <c r="C303" s="57" t="s">
        <v>417</v>
      </c>
      <c r="D303" s="70">
        <v>13</v>
      </c>
      <c r="E303" s="70">
        <v>1</v>
      </c>
      <c r="F303" s="70" t="s">
        <v>418</v>
      </c>
      <c r="G303" s="49" t="s">
        <v>447</v>
      </c>
      <c r="H303" s="70" t="s">
        <v>420</v>
      </c>
      <c r="I303" s="70" t="s">
        <v>24</v>
      </c>
      <c r="J303" s="126" t="s">
        <v>421</v>
      </c>
    </row>
    <row r="304" spans="1:10">
      <c r="A304" s="114">
        <v>15</v>
      </c>
      <c r="B304" s="57" t="s">
        <v>448</v>
      </c>
      <c r="C304" s="57" t="s">
        <v>417</v>
      </c>
      <c r="D304" s="70">
        <v>14</v>
      </c>
      <c r="E304" s="70">
        <v>1</v>
      </c>
      <c r="F304" s="70" t="s">
        <v>418</v>
      </c>
      <c r="G304" s="49" t="s">
        <v>449</v>
      </c>
      <c r="H304" s="70" t="s">
        <v>420</v>
      </c>
      <c r="I304" s="70" t="s">
        <v>24</v>
      </c>
      <c r="J304" s="126" t="s">
        <v>421</v>
      </c>
    </row>
    <row r="305" spans="1:10">
      <c r="A305" s="114">
        <v>16</v>
      </c>
      <c r="B305" s="57" t="s">
        <v>450</v>
      </c>
      <c r="C305" s="57" t="s">
        <v>417</v>
      </c>
      <c r="D305" s="70">
        <v>15</v>
      </c>
      <c r="E305" s="70">
        <v>1</v>
      </c>
      <c r="F305" s="70" t="s">
        <v>418</v>
      </c>
      <c r="G305" s="49" t="s">
        <v>451</v>
      </c>
      <c r="H305" s="70" t="s">
        <v>420</v>
      </c>
      <c r="I305" s="70" t="s">
        <v>24</v>
      </c>
      <c r="J305" s="126" t="s">
        <v>421</v>
      </c>
    </row>
    <row r="306" spans="1:10">
      <c r="A306" s="91"/>
      <c r="B306" s="93"/>
      <c r="C306" s="93"/>
      <c r="D306" s="65"/>
      <c r="E306" s="65"/>
      <c r="F306" s="65"/>
      <c r="G306" s="65"/>
      <c r="H306" s="65"/>
      <c r="I306" s="65"/>
      <c r="J306" s="109"/>
    </row>
    <row r="307" spans="1:10">
      <c r="A307" s="119" t="s">
        <v>452</v>
      </c>
      <c r="B307" s="120"/>
      <c r="C307" s="120"/>
      <c r="D307" s="120"/>
      <c r="E307" s="120"/>
      <c r="F307" s="120"/>
      <c r="G307" s="120"/>
      <c r="H307" s="120"/>
      <c r="I307" s="120"/>
      <c r="J307" s="123"/>
    </row>
    <row r="308" ht="15.6" customHeight="1" spans="1:10">
      <c r="A308" s="91">
        <v>1</v>
      </c>
      <c r="B308" s="93" t="s">
        <v>453</v>
      </c>
      <c r="C308" s="93" t="s">
        <v>454</v>
      </c>
      <c r="D308" s="67">
        <v>4096</v>
      </c>
      <c r="E308" s="67">
        <v>2</v>
      </c>
      <c r="F308" s="67" t="s">
        <v>21</v>
      </c>
      <c r="G308" s="93" t="s">
        <v>455</v>
      </c>
      <c r="H308" s="67" t="s">
        <v>14</v>
      </c>
      <c r="I308" s="65" t="s">
        <v>24</v>
      </c>
      <c r="J308" s="109" t="s">
        <v>164</v>
      </c>
    </row>
    <row r="309" ht="13.2" customHeight="1" spans="1:10">
      <c r="A309" s="91">
        <v>2</v>
      </c>
      <c r="B309" s="93" t="s">
        <v>456</v>
      </c>
      <c r="C309" s="93" t="s">
        <v>454</v>
      </c>
      <c r="D309" s="65">
        <v>5358</v>
      </c>
      <c r="E309" s="65">
        <v>2</v>
      </c>
      <c r="F309" s="65" t="s">
        <v>457</v>
      </c>
      <c r="G309" s="93" t="s">
        <v>455</v>
      </c>
      <c r="H309" s="67" t="s">
        <v>14</v>
      </c>
      <c r="I309" s="65" t="s">
        <v>24</v>
      </c>
      <c r="J309" s="109" t="s">
        <v>179</v>
      </c>
    </row>
    <row r="310" ht="24" spans="1:10">
      <c r="A310" s="114">
        <v>3</v>
      </c>
      <c r="B310" s="57" t="s">
        <v>458</v>
      </c>
      <c r="C310" s="57" t="s">
        <v>459</v>
      </c>
      <c r="D310" s="71">
        <v>8192</v>
      </c>
      <c r="E310" s="70">
        <v>2</v>
      </c>
      <c r="F310" s="70" t="s">
        <v>21</v>
      </c>
      <c r="G310" s="57" t="s">
        <v>460</v>
      </c>
      <c r="H310" s="71" t="s">
        <v>420</v>
      </c>
      <c r="I310" s="70" t="s">
        <v>24</v>
      </c>
      <c r="J310" s="118" t="s">
        <v>168</v>
      </c>
    </row>
    <row r="311" ht="24" spans="1:10">
      <c r="A311" s="114">
        <v>4</v>
      </c>
      <c r="B311" s="57" t="s">
        <v>461</v>
      </c>
      <c r="C311" s="57" t="s">
        <v>459</v>
      </c>
      <c r="D311" s="70">
        <v>65280</v>
      </c>
      <c r="E311" s="70">
        <v>2</v>
      </c>
      <c r="F311" s="70" t="s">
        <v>21</v>
      </c>
      <c r="G311" s="57" t="s">
        <v>462</v>
      </c>
      <c r="H311" s="70" t="s">
        <v>420</v>
      </c>
      <c r="I311" s="70" t="s">
        <v>24</v>
      </c>
      <c r="J311" s="118" t="s">
        <v>463</v>
      </c>
    </row>
    <row r="312" ht="24" spans="1:10">
      <c r="A312" s="114">
        <v>5</v>
      </c>
      <c r="B312" s="57" t="s">
        <v>464</v>
      </c>
      <c r="C312" s="57" t="s">
        <v>459</v>
      </c>
      <c r="D312" s="70">
        <v>65281</v>
      </c>
      <c r="E312" s="70">
        <v>2</v>
      </c>
      <c r="F312" s="70" t="s">
        <v>21</v>
      </c>
      <c r="G312" s="57" t="s">
        <v>465</v>
      </c>
      <c r="H312" s="70" t="s">
        <v>420</v>
      </c>
      <c r="I312" s="70" t="s">
        <v>24</v>
      </c>
      <c r="J312" s="118" t="s">
        <v>466</v>
      </c>
    </row>
    <row r="313" ht="24" spans="1:10">
      <c r="A313" s="91">
        <v>6</v>
      </c>
      <c r="B313" s="57" t="s">
        <v>467</v>
      </c>
      <c r="C313" s="57" t="s">
        <v>459</v>
      </c>
      <c r="D313" s="70">
        <v>65282</v>
      </c>
      <c r="E313" s="70">
        <v>2</v>
      </c>
      <c r="F313" s="70" t="s">
        <v>21</v>
      </c>
      <c r="G313" s="57" t="s">
        <v>468</v>
      </c>
      <c r="H313" s="71" t="s">
        <v>420</v>
      </c>
      <c r="I313" s="70" t="s">
        <v>24</v>
      </c>
      <c r="J313" s="118" t="s">
        <v>469</v>
      </c>
    </row>
    <row r="314" spans="1:10">
      <c r="A314" s="91">
        <v>7</v>
      </c>
      <c r="B314" s="57" t="s">
        <v>470</v>
      </c>
      <c r="C314" s="57" t="s">
        <v>459</v>
      </c>
      <c r="D314" s="70">
        <v>65283</v>
      </c>
      <c r="E314" s="70">
        <v>2</v>
      </c>
      <c r="F314" s="70" t="s">
        <v>21</v>
      </c>
      <c r="G314" s="57" t="s">
        <v>471</v>
      </c>
      <c r="H314" s="71" t="s">
        <v>420</v>
      </c>
      <c r="I314" s="70" t="s">
        <v>24</v>
      </c>
      <c r="J314" s="118" t="s">
        <v>472</v>
      </c>
    </row>
    <row r="315" ht="24" spans="1:10">
      <c r="A315" s="114">
        <v>8</v>
      </c>
      <c r="B315" s="57" t="s">
        <v>473</v>
      </c>
      <c r="C315" s="57" t="s">
        <v>459</v>
      </c>
      <c r="D315" s="70">
        <v>65284</v>
      </c>
      <c r="E315" s="70">
        <v>2</v>
      </c>
      <c r="F315" s="70" t="s">
        <v>21</v>
      </c>
      <c r="G315" s="57" t="s">
        <v>474</v>
      </c>
      <c r="H315" s="70" t="s">
        <v>420</v>
      </c>
      <c r="I315" s="70" t="s">
        <v>24</v>
      </c>
      <c r="J315" s="118" t="s">
        <v>475</v>
      </c>
    </row>
    <row r="316" spans="1:10">
      <c r="A316" s="114">
        <v>9</v>
      </c>
      <c r="B316" s="57" t="s">
        <v>162</v>
      </c>
      <c r="C316" s="57" t="s">
        <v>459</v>
      </c>
      <c r="D316" s="70">
        <v>65285</v>
      </c>
      <c r="E316" s="70">
        <v>2</v>
      </c>
      <c r="F316" s="70" t="s">
        <v>21</v>
      </c>
      <c r="G316" s="57" t="s">
        <v>162</v>
      </c>
      <c r="H316" s="70" t="s">
        <v>420</v>
      </c>
      <c r="I316" s="70" t="s">
        <v>24</v>
      </c>
      <c r="J316" s="118" t="s">
        <v>476</v>
      </c>
    </row>
    <row r="317" ht="24" spans="1:10">
      <c r="A317" s="114">
        <v>10</v>
      </c>
      <c r="B317" s="57" t="s">
        <v>477</v>
      </c>
      <c r="C317" s="57" t="s">
        <v>459</v>
      </c>
      <c r="D317" s="70">
        <v>65286</v>
      </c>
      <c r="E317" s="70">
        <v>2</v>
      </c>
      <c r="F317" s="70" t="s">
        <v>21</v>
      </c>
      <c r="G317" s="57" t="s">
        <v>478</v>
      </c>
      <c r="H317" s="70" t="s">
        <v>420</v>
      </c>
      <c r="I317" s="70" t="s">
        <v>24</v>
      </c>
      <c r="J317" s="118" t="s">
        <v>479</v>
      </c>
    </row>
    <row r="318" spans="1:10">
      <c r="A318" s="91">
        <v>11</v>
      </c>
      <c r="B318" s="62" t="s">
        <v>480</v>
      </c>
      <c r="C318" s="93" t="s">
        <v>459</v>
      </c>
      <c r="D318" s="67">
        <v>65520</v>
      </c>
      <c r="E318" s="67">
        <v>2</v>
      </c>
      <c r="F318" s="67" t="s">
        <v>21</v>
      </c>
      <c r="G318" s="62" t="s">
        <v>481</v>
      </c>
      <c r="H318" s="67" t="s">
        <v>420</v>
      </c>
      <c r="I318" s="65" t="s">
        <v>24</v>
      </c>
      <c r="J318" s="109" t="s">
        <v>482</v>
      </c>
    </row>
    <row r="319" ht="36" spans="1:10">
      <c r="A319" s="91">
        <v>12</v>
      </c>
      <c r="B319" s="93" t="s">
        <v>483</v>
      </c>
      <c r="C319" s="93" t="s">
        <v>459</v>
      </c>
      <c r="D319" s="65">
        <v>65521</v>
      </c>
      <c r="E319" s="65">
        <v>2</v>
      </c>
      <c r="F319" s="65" t="s">
        <v>21</v>
      </c>
      <c r="G319" s="93" t="s">
        <v>484</v>
      </c>
      <c r="H319" s="67" t="s">
        <v>420</v>
      </c>
      <c r="I319" s="65" t="s">
        <v>24</v>
      </c>
      <c r="J319" s="109" t="s">
        <v>485</v>
      </c>
    </row>
    <row r="320" spans="1:10">
      <c r="A320" s="114">
        <v>13</v>
      </c>
      <c r="B320" s="93" t="s">
        <v>486</v>
      </c>
      <c r="C320" s="93" t="s">
        <v>459</v>
      </c>
      <c r="D320" s="65">
        <v>65522</v>
      </c>
      <c r="E320" s="65">
        <v>2</v>
      </c>
      <c r="F320" s="65" t="s">
        <v>21</v>
      </c>
      <c r="G320" s="93" t="s">
        <v>487</v>
      </c>
      <c r="H320" s="67" t="s">
        <v>420</v>
      </c>
      <c r="I320" s="65" t="s">
        <v>24</v>
      </c>
      <c r="J320" s="109" t="s">
        <v>488</v>
      </c>
    </row>
    <row r="321" spans="1:10">
      <c r="A321" s="114">
        <v>14</v>
      </c>
      <c r="B321" s="62" t="s">
        <v>489</v>
      </c>
      <c r="C321" s="93" t="s">
        <v>459</v>
      </c>
      <c r="D321" s="67">
        <v>65523</v>
      </c>
      <c r="E321" s="67">
        <v>2</v>
      </c>
      <c r="F321" s="67" t="s">
        <v>21</v>
      </c>
      <c r="G321" s="62" t="s">
        <v>490</v>
      </c>
      <c r="H321" s="67" t="s">
        <v>420</v>
      </c>
      <c r="I321" s="65" t="s">
        <v>24</v>
      </c>
      <c r="J321" s="109" t="s">
        <v>491</v>
      </c>
    </row>
    <row r="322" spans="1:10">
      <c r="A322" s="114">
        <v>15</v>
      </c>
      <c r="B322" s="93" t="s">
        <v>492</v>
      </c>
      <c r="C322" s="93" t="s">
        <v>459</v>
      </c>
      <c r="D322" s="65">
        <v>65524</v>
      </c>
      <c r="E322" s="65">
        <v>2</v>
      </c>
      <c r="F322" s="65" t="s">
        <v>21</v>
      </c>
      <c r="G322" s="93" t="s">
        <v>493</v>
      </c>
      <c r="H322" s="65" t="s">
        <v>420</v>
      </c>
      <c r="I322" s="65" t="s">
        <v>24</v>
      </c>
      <c r="J322" s="109" t="s">
        <v>494</v>
      </c>
    </row>
    <row r="323" spans="1:10">
      <c r="A323" s="114">
        <v>16</v>
      </c>
      <c r="B323" s="93" t="s">
        <v>495</v>
      </c>
      <c r="C323" s="93" t="s">
        <v>459</v>
      </c>
      <c r="D323" s="65">
        <v>65525</v>
      </c>
      <c r="E323" s="65">
        <v>2</v>
      </c>
      <c r="F323" s="65" t="s">
        <v>21</v>
      </c>
      <c r="G323" s="93" t="s">
        <v>496</v>
      </c>
      <c r="H323" s="65" t="s">
        <v>420</v>
      </c>
      <c r="I323" s="65" t="s">
        <v>24</v>
      </c>
      <c r="J323" s="109" t="s">
        <v>497</v>
      </c>
    </row>
    <row r="324" ht="36" spans="1:10">
      <c r="A324" s="114">
        <v>17</v>
      </c>
      <c r="B324" s="93" t="s">
        <v>498</v>
      </c>
      <c r="C324" s="93" t="s">
        <v>459</v>
      </c>
      <c r="D324" s="65">
        <v>65526</v>
      </c>
      <c r="E324" s="65">
        <v>2</v>
      </c>
      <c r="F324" s="65" t="s">
        <v>21</v>
      </c>
      <c r="G324" s="93" t="s">
        <v>499</v>
      </c>
      <c r="H324" s="65" t="s">
        <v>420</v>
      </c>
      <c r="I324" s="65" t="s">
        <v>24</v>
      </c>
      <c r="J324" s="109" t="s">
        <v>500</v>
      </c>
    </row>
    <row r="325" spans="1:10">
      <c r="A325" s="91"/>
      <c r="B325" s="93"/>
      <c r="C325" s="93"/>
      <c r="D325" s="65"/>
      <c r="E325" s="65"/>
      <c r="F325" s="65"/>
      <c r="G325" s="65"/>
      <c r="H325" s="67"/>
      <c r="I325" s="65"/>
      <c r="J325" s="109"/>
    </row>
    <row r="326" ht="14.55" customHeight="1" spans="1:10">
      <c r="A326" s="127" t="s">
        <v>501</v>
      </c>
      <c r="B326" s="128"/>
      <c r="C326" s="128"/>
      <c r="D326" s="128"/>
      <c r="E326" s="128"/>
      <c r="F326" s="128"/>
      <c r="G326" s="128"/>
      <c r="H326" s="128"/>
      <c r="I326" s="128"/>
      <c r="J326" s="133"/>
    </row>
    <row r="327" ht="15" customHeight="1" spans="1:10">
      <c r="A327" s="91">
        <v>1</v>
      </c>
      <c r="B327" s="93" t="s">
        <v>453</v>
      </c>
      <c r="C327" s="62" t="s">
        <v>502</v>
      </c>
      <c r="D327" s="65">
        <v>4096</v>
      </c>
      <c r="E327" s="65" t="s">
        <v>503</v>
      </c>
      <c r="F327" s="67" t="s">
        <v>21</v>
      </c>
      <c r="G327" s="93" t="s">
        <v>504</v>
      </c>
      <c r="H327" s="65" t="s">
        <v>14</v>
      </c>
      <c r="I327" s="65" t="s">
        <v>24</v>
      </c>
      <c r="J327" s="109" t="s">
        <v>164</v>
      </c>
    </row>
    <row r="328" ht="15" customHeight="1" spans="1:10">
      <c r="A328" s="91">
        <v>2</v>
      </c>
      <c r="B328" s="93" t="s">
        <v>456</v>
      </c>
      <c r="C328" s="62" t="s">
        <v>502</v>
      </c>
      <c r="D328" s="65">
        <v>5358</v>
      </c>
      <c r="E328" s="65" t="s">
        <v>503</v>
      </c>
      <c r="F328" s="65" t="s">
        <v>457</v>
      </c>
      <c r="G328" s="93" t="s">
        <v>504</v>
      </c>
      <c r="H328" s="65" t="s">
        <v>14</v>
      </c>
      <c r="I328" s="65" t="s">
        <v>24</v>
      </c>
      <c r="J328" s="109" t="s">
        <v>179</v>
      </c>
    </row>
    <row r="329" ht="51" customHeight="1" spans="1:10">
      <c r="A329" s="91">
        <v>3</v>
      </c>
      <c r="B329" s="93" t="s">
        <v>505</v>
      </c>
      <c r="C329" s="93" t="s">
        <v>506</v>
      </c>
      <c r="D329" s="65">
        <v>61440</v>
      </c>
      <c r="E329" s="65">
        <v>4</v>
      </c>
      <c r="F329" s="65" t="s">
        <v>21</v>
      </c>
      <c r="G329" s="93" t="s">
        <v>507</v>
      </c>
      <c r="H329" s="65" t="s">
        <v>420</v>
      </c>
      <c r="I329" s="65" t="s">
        <v>24</v>
      </c>
      <c r="J329" s="109" t="s">
        <v>508</v>
      </c>
    </row>
    <row r="330" ht="87" customHeight="1" spans="1:10">
      <c r="A330" s="91">
        <v>4</v>
      </c>
      <c r="B330" s="93" t="s">
        <v>509</v>
      </c>
      <c r="C330" s="93" t="s">
        <v>506</v>
      </c>
      <c r="D330" s="65">
        <v>61600</v>
      </c>
      <c r="E330" s="65">
        <v>6</v>
      </c>
      <c r="F330" s="65" t="s">
        <v>21</v>
      </c>
      <c r="G330" s="93" t="s">
        <v>510</v>
      </c>
      <c r="H330" s="65" t="s">
        <v>420</v>
      </c>
      <c r="I330" s="65" t="s">
        <v>24</v>
      </c>
      <c r="J330" s="109" t="s">
        <v>511</v>
      </c>
    </row>
    <row r="331" spans="1:10">
      <c r="A331" s="91">
        <v>5</v>
      </c>
      <c r="B331" s="62" t="s">
        <v>512</v>
      </c>
      <c r="C331" s="62" t="s">
        <v>506</v>
      </c>
      <c r="D331" s="67">
        <v>65504</v>
      </c>
      <c r="E331" s="67">
        <v>4</v>
      </c>
      <c r="F331" s="67" t="s">
        <v>21</v>
      </c>
      <c r="G331" s="62" t="s">
        <v>513</v>
      </c>
      <c r="H331" s="67" t="s">
        <v>420</v>
      </c>
      <c r="I331" s="65" t="s">
        <v>24</v>
      </c>
      <c r="J331" s="109" t="s">
        <v>514</v>
      </c>
    </row>
    <row r="332" ht="171.6" customHeight="1" spans="1:10">
      <c r="A332" s="91">
        <v>6</v>
      </c>
      <c r="B332" s="57" t="s">
        <v>515</v>
      </c>
      <c r="C332" s="57" t="s">
        <v>506</v>
      </c>
      <c r="D332" s="70">
        <v>65472</v>
      </c>
      <c r="E332" s="70">
        <v>9</v>
      </c>
      <c r="F332" s="70" t="s">
        <v>21</v>
      </c>
      <c r="G332" s="57" t="s">
        <v>516</v>
      </c>
      <c r="H332" s="70" t="s">
        <v>420</v>
      </c>
      <c r="I332" s="70" t="s">
        <v>24</v>
      </c>
      <c r="J332" s="118" t="s">
        <v>517</v>
      </c>
    </row>
    <row r="333" ht="72" spans="1:10">
      <c r="A333" s="91">
        <v>7</v>
      </c>
      <c r="B333" s="93" t="s">
        <v>518</v>
      </c>
      <c r="C333" s="62" t="s">
        <v>506</v>
      </c>
      <c r="D333" s="65">
        <v>65488</v>
      </c>
      <c r="E333" s="65">
        <v>9</v>
      </c>
      <c r="F333" s="65" t="s">
        <v>21</v>
      </c>
      <c r="G333" s="93" t="s">
        <v>519</v>
      </c>
      <c r="H333" s="65" t="s">
        <v>420</v>
      </c>
      <c r="I333" s="65" t="s">
        <v>24</v>
      </c>
      <c r="J333" s="109" t="s">
        <v>520</v>
      </c>
    </row>
    <row r="334" ht="16.2" customHeight="1" spans="1:10">
      <c r="A334" s="91">
        <v>8</v>
      </c>
      <c r="B334" s="93" t="s">
        <v>521</v>
      </c>
      <c r="C334" s="93" t="s">
        <v>459</v>
      </c>
      <c r="D334" s="65">
        <v>65528</v>
      </c>
      <c r="E334" s="65">
        <v>2</v>
      </c>
      <c r="F334" s="65" t="s">
        <v>21</v>
      </c>
      <c r="G334" s="93" t="s">
        <v>522</v>
      </c>
      <c r="H334" s="67" t="s">
        <v>420</v>
      </c>
      <c r="I334" s="65" t="s">
        <v>24</v>
      </c>
      <c r="J334" s="109" t="s">
        <v>523</v>
      </c>
    </row>
    <row r="335" ht="14.4" customHeight="1" spans="1:10">
      <c r="A335" s="91">
        <v>9</v>
      </c>
      <c r="B335" s="93" t="s">
        <v>524</v>
      </c>
      <c r="C335" s="93" t="s">
        <v>459</v>
      </c>
      <c r="D335" s="65">
        <v>65529</v>
      </c>
      <c r="E335" s="65">
        <v>2</v>
      </c>
      <c r="F335" s="65" t="s">
        <v>21</v>
      </c>
      <c r="G335" s="93" t="s">
        <v>525</v>
      </c>
      <c r="H335" s="67" t="s">
        <v>420</v>
      </c>
      <c r="I335" s="65" t="s">
        <v>24</v>
      </c>
      <c r="J335" s="109" t="s">
        <v>526</v>
      </c>
    </row>
    <row r="336" ht="14.25" spans="1:10">
      <c r="A336" s="129"/>
      <c r="B336" s="130"/>
      <c r="C336" s="130"/>
      <c r="D336" s="131"/>
      <c r="E336" s="131"/>
      <c r="F336" s="131"/>
      <c r="G336" s="131"/>
      <c r="H336" s="131"/>
      <c r="I336" s="131"/>
      <c r="J336" s="134"/>
    </row>
    <row r="337" spans="1:10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</row>
    <row r="338" spans="1:10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</row>
    <row r="339" spans="1:10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</row>
    <row r="340" spans="1:10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</row>
    <row r="341" spans="1:10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</row>
    <row r="342" spans="1:10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</row>
    <row r="343" spans="1:10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</row>
    <row r="344" spans="1:10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</row>
    <row r="345" spans="1:10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</row>
    <row r="346" spans="1:10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</row>
    <row r="347" spans="1:10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</row>
    <row r="348" spans="1:10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</row>
    <row r="349" spans="1:10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</row>
    <row r="350" spans="1:10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</row>
    <row r="351" spans="1:10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</row>
    <row r="352" spans="1:10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</row>
    <row r="353" spans="1:10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</row>
    <row r="354" spans="1:10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</row>
    <row r="355" spans="1:10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</row>
    <row r="356" spans="1:10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</row>
    <row r="357" spans="1:10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</row>
    <row r="358" spans="1:10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</row>
    <row r="359" spans="1:10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</row>
    <row r="360" spans="1:10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</row>
    <row r="361" spans="1:10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</row>
    <row r="362" spans="1:10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</row>
    <row r="363" spans="1:10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</row>
    <row r="364" spans="1:10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</row>
    <row r="365" spans="1:10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</row>
    <row r="366" spans="1:10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</row>
    <row r="367" spans="1:10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</row>
    <row r="368" spans="1:10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</row>
  </sheetData>
  <sheetProtection algorithmName="SHA-512" hashValue="K1vogZHVkz5bRfpDP9M++uLgnAQuBG9OYWMLfd3gw4mdSUv55PgbH049F41kvhQa/tvBXXMgiU9Wb/qQmgaSIA==" saltValue="nXJR351S2P77HBnYiHp2Vw==" spinCount="100000" sheet="1" objects="1" scenarios="1"/>
  <protectedRanges>
    <protectedRange sqref="D2 F2 J2 H2" name="参数配置"/>
  </protectedRanges>
  <mergeCells count="28">
    <mergeCell ref="A1:J1"/>
    <mergeCell ref="B2:C2"/>
    <mergeCell ref="A3:J3"/>
    <mergeCell ref="A5:J5"/>
    <mergeCell ref="A6:J6"/>
    <mergeCell ref="A22:J22"/>
    <mergeCell ref="A29:J29"/>
    <mergeCell ref="A36:J36"/>
    <mergeCell ref="A43:J43"/>
    <mergeCell ref="A50:J50"/>
    <mergeCell ref="A75:J75"/>
    <mergeCell ref="A86:J86"/>
    <mergeCell ref="A97:J97"/>
    <mergeCell ref="A101:J101"/>
    <mergeCell ref="A107:J107"/>
    <mergeCell ref="A114:J114"/>
    <mergeCell ref="A117:J117"/>
    <mergeCell ref="A122:J122"/>
    <mergeCell ref="A200:J200"/>
    <mergeCell ref="A201:J201"/>
    <mergeCell ref="A212:J212"/>
    <mergeCell ref="A224:J224"/>
    <mergeCell ref="A239:J239"/>
    <mergeCell ref="A255:J255"/>
    <mergeCell ref="A288:J288"/>
    <mergeCell ref="A289:J289"/>
    <mergeCell ref="A307:J307"/>
    <mergeCell ref="A326:J326"/>
  </mergeCells>
  <pageMargins left="0.699305555555556" right="0.699305555555556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workbookViewId="0">
      <selection activeCell="A1" sqref="A1:F3"/>
    </sheetView>
  </sheetViews>
  <sheetFormatPr defaultColWidth="9" defaultRowHeight="13.5" outlineLevelCol="5"/>
  <cols>
    <col min="1" max="1" width="13.8833333333333" customWidth="1"/>
    <col min="2" max="2" width="45.6666666666667" customWidth="1"/>
    <col min="3" max="3" width="16.1083333333333" customWidth="1"/>
    <col min="4" max="4" width="34.2166666666667" customWidth="1"/>
    <col min="5" max="5" width="10.775" customWidth="1"/>
    <col min="6" max="6" width="37.8833333333333" customWidth="1"/>
  </cols>
  <sheetData>
    <row r="1" spans="1:6">
      <c r="A1" s="2" t="s">
        <v>527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3" t="s">
        <v>528</v>
      </c>
      <c r="B4" s="3" t="s">
        <v>529</v>
      </c>
      <c r="C4" s="4" t="s">
        <v>530</v>
      </c>
      <c r="D4" s="4" t="s">
        <v>531</v>
      </c>
      <c r="E4" s="3" t="s">
        <v>16</v>
      </c>
      <c r="F4" s="5" t="s">
        <v>532</v>
      </c>
    </row>
    <row r="5" spans="1:6">
      <c r="A5" s="6">
        <v>1</v>
      </c>
      <c r="B5" s="7" t="s">
        <v>533</v>
      </c>
      <c r="C5" s="8" t="s">
        <v>534</v>
      </c>
      <c r="D5" s="8" t="s">
        <v>535</v>
      </c>
      <c r="E5" s="9" t="s">
        <v>332</v>
      </c>
      <c r="F5" s="10" t="s">
        <v>536</v>
      </c>
    </row>
    <row r="6" spans="1:6">
      <c r="A6" s="6">
        <v>2</v>
      </c>
      <c r="B6" s="7" t="s">
        <v>537</v>
      </c>
      <c r="C6" s="8" t="s">
        <v>534</v>
      </c>
      <c r="D6" s="8" t="s">
        <v>535</v>
      </c>
      <c r="E6" s="11"/>
      <c r="F6" s="10" t="s">
        <v>538</v>
      </c>
    </row>
    <row r="7" spans="1:6">
      <c r="A7" s="6">
        <v>3</v>
      </c>
      <c r="B7" s="12" t="s">
        <v>539</v>
      </c>
      <c r="C7" s="8" t="s">
        <v>540</v>
      </c>
      <c r="D7" s="8" t="s">
        <v>541</v>
      </c>
      <c r="E7" s="11"/>
      <c r="F7" s="10" t="s">
        <v>542</v>
      </c>
    </row>
    <row r="8" spans="1:6">
      <c r="A8" s="6">
        <v>4</v>
      </c>
      <c r="B8" s="13" t="s">
        <v>543</v>
      </c>
      <c r="C8" s="8" t="s">
        <v>540</v>
      </c>
      <c r="D8" s="8" t="s">
        <v>541</v>
      </c>
      <c r="E8" s="11"/>
      <c r="F8" s="10" t="s">
        <v>544</v>
      </c>
    </row>
    <row r="9" spans="1:6">
      <c r="A9" s="6">
        <v>5</v>
      </c>
      <c r="B9" s="13" t="s">
        <v>545</v>
      </c>
      <c r="C9" s="8" t="s">
        <v>546</v>
      </c>
      <c r="D9" s="8" t="s">
        <v>547</v>
      </c>
      <c r="E9" s="11"/>
      <c r="F9" s="10" t="s">
        <v>548</v>
      </c>
    </row>
    <row r="10" spans="1:6">
      <c r="A10" s="6">
        <v>6</v>
      </c>
      <c r="B10" s="13" t="s">
        <v>549</v>
      </c>
      <c r="C10" s="8" t="s">
        <v>546</v>
      </c>
      <c r="D10" s="8" t="s">
        <v>547</v>
      </c>
      <c r="E10" s="11"/>
      <c r="F10" s="10" t="s">
        <v>550</v>
      </c>
    </row>
    <row r="11" spans="1:6">
      <c r="A11" s="6">
        <v>7</v>
      </c>
      <c r="B11" s="13" t="s">
        <v>551</v>
      </c>
      <c r="C11" s="8" t="s">
        <v>552</v>
      </c>
      <c r="D11" s="8" t="s">
        <v>553</v>
      </c>
      <c r="E11" s="14"/>
      <c r="F11" s="10" t="s">
        <v>554</v>
      </c>
    </row>
    <row r="12" spans="1:6">
      <c r="A12" s="6">
        <v>8</v>
      </c>
      <c r="B12" s="13" t="s">
        <v>555</v>
      </c>
      <c r="C12" s="8">
        <v>0</v>
      </c>
      <c r="D12" s="8" t="s">
        <v>556</v>
      </c>
      <c r="E12" s="15"/>
      <c r="F12" s="16"/>
    </row>
    <row r="13" spans="1:6">
      <c r="A13" s="6">
        <v>9</v>
      </c>
      <c r="B13" s="13" t="s">
        <v>557</v>
      </c>
      <c r="C13" s="8" t="s">
        <v>558</v>
      </c>
      <c r="D13" s="8" t="s">
        <v>559</v>
      </c>
      <c r="E13" s="9" t="s">
        <v>356</v>
      </c>
      <c r="F13" s="16"/>
    </row>
    <row r="14" spans="1:6">
      <c r="A14" s="17">
        <v>10</v>
      </c>
      <c r="B14" s="13" t="s">
        <v>560</v>
      </c>
      <c r="C14" s="8" t="s">
        <v>558</v>
      </c>
      <c r="D14" s="8" t="s">
        <v>559</v>
      </c>
      <c r="E14" s="11"/>
      <c r="F14" s="16"/>
    </row>
    <row r="15" spans="1:6">
      <c r="A15" s="17">
        <v>11</v>
      </c>
      <c r="B15" s="13" t="s">
        <v>561</v>
      </c>
      <c r="C15" s="8" t="s">
        <v>562</v>
      </c>
      <c r="D15" s="8" t="s">
        <v>563</v>
      </c>
      <c r="E15" s="11"/>
      <c r="F15" s="16"/>
    </row>
    <row r="16" spans="1:6">
      <c r="A16" s="6">
        <v>12</v>
      </c>
      <c r="B16" s="13" t="s">
        <v>564</v>
      </c>
      <c r="C16" s="8" t="s">
        <v>562</v>
      </c>
      <c r="D16" s="8" t="s">
        <v>563</v>
      </c>
      <c r="E16" s="11"/>
      <c r="F16" s="16"/>
    </row>
    <row r="17" spans="1:6">
      <c r="A17" s="6">
        <v>13</v>
      </c>
      <c r="B17" s="13" t="s">
        <v>565</v>
      </c>
      <c r="C17" s="8" t="s">
        <v>566</v>
      </c>
      <c r="D17" s="8" t="s">
        <v>567</v>
      </c>
      <c r="E17" s="11"/>
      <c r="F17" s="16"/>
    </row>
    <row r="18" spans="1:6">
      <c r="A18" s="6">
        <v>14</v>
      </c>
      <c r="B18" s="13" t="s">
        <v>568</v>
      </c>
      <c r="C18" s="8" t="s">
        <v>566</v>
      </c>
      <c r="D18" s="8" t="s">
        <v>567</v>
      </c>
      <c r="E18" s="11"/>
      <c r="F18" s="16"/>
    </row>
    <row r="19" spans="1:6">
      <c r="A19" s="6">
        <v>15</v>
      </c>
      <c r="B19" s="13" t="s">
        <v>569</v>
      </c>
      <c r="C19" s="8" t="s">
        <v>570</v>
      </c>
      <c r="D19" s="8" t="s">
        <v>571</v>
      </c>
      <c r="E19" s="11"/>
      <c r="F19" s="16"/>
    </row>
    <row r="20" spans="1:6">
      <c r="A20" s="6">
        <v>16</v>
      </c>
      <c r="B20" s="13" t="s">
        <v>572</v>
      </c>
      <c r="C20" s="8" t="s">
        <v>570</v>
      </c>
      <c r="D20" s="8" t="s">
        <v>571</v>
      </c>
      <c r="E20" s="11"/>
      <c r="F20" s="16"/>
    </row>
    <row r="21" spans="1:6">
      <c r="A21" s="6">
        <v>17</v>
      </c>
      <c r="B21" s="13" t="s">
        <v>573</v>
      </c>
      <c r="C21" s="8" t="s">
        <v>552</v>
      </c>
      <c r="D21" s="8" t="s">
        <v>574</v>
      </c>
      <c r="E21" s="11"/>
      <c r="F21" s="16"/>
    </row>
    <row r="22" spans="1:6">
      <c r="A22" s="6">
        <v>18</v>
      </c>
      <c r="B22" s="13" t="s">
        <v>575</v>
      </c>
      <c r="C22" s="8">
        <v>0</v>
      </c>
      <c r="D22" s="8" t="s">
        <v>576</v>
      </c>
      <c r="E22" s="11"/>
      <c r="F22" s="16"/>
    </row>
    <row r="23" spans="1:6">
      <c r="A23" s="6">
        <v>19</v>
      </c>
      <c r="B23" s="13" t="s">
        <v>577</v>
      </c>
      <c r="C23" s="8" t="s">
        <v>578</v>
      </c>
      <c r="D23" s="8" t="s">
        <v>579</v>
      </c>
      <c r="E23" s="11"/>
      <c r="F23" s="16"/>
    </row>
    <row r="24" spans="1:6">
      <c r="A24" s="6">
        <v>20</v>
      </c>
      <c r="B24" s="13" t="s">
        <v>580</v>
      </c>
      <c r="C24" s="8" t="s">
        <v>578</v>
      </c>
      <c r="D24" s="8" t="s">
        <v>579</v>
      </c>
      <c r="E24" s="11"/>
      <c r="F24" s="16"/>
    </row>
    <row r="25" spans="1:6">
      <c r="A25" s="17">
        <v>21</v>
      </c>
      <c r="B25" s="13" t="s">
        <v>581</v>
      </c>
      <c r="C25" s="8">
        <v>0</v>
      </c>
      <c r="D25" s="8" t="s">
        <v>582</v>
      </c>
      <c r="E25" s="18"/>
      <c r="F25" s="16"/>
    </row>
    <row r="26" spans="1:6">
      <c r="A26" s="17">
        <v>22</v>
      </c>
      <c r="B26" s="13" t="s">
        <v>583</v>
      </c>
      <c r="C26" s="6">
        <v>1</v>
      </c>
      <c r="D26" s="8" t="s">
        <v>584</v>
      </c>
      <c r="E26" s="9" t="s">
        <v>406</v>
      </c>
      <c r="F26" s="16"/>
    </row>
    <row r="27" spans="1:6">
      <c r="A27" s="6">
        <v>23</v>
      </c>
      <c r="B27" s="13" t="s">
        <v>585</v>
      </c>
      <c r="C27" s="6">
        <v>2</v>
      </c>
      <c r="D27" s="8" t="s">
        <v>584</v>
      </c>
      <c r="E27" s="11"/>
      <c r="F27" s="16"/>
    </row>
    <row r="28" spans="1:6">
      <c r="A28" s="6">
        <v>24</v>
      </c>
      <c r="B28" s="13" t="s">
        <v>586</v>
      </c>
      <c r="C28" s="6">
        <v>0</v>
      </c>
      <c r="D28" s="8" t="s">
        <v>584</v>
      </c>
      <c r="E28" s="11"/>
      <c r="F28" s="16"/>
    </row>
    <row r="29" spans="1:6">
      <c r="A29" s="6">
        <v>25</v>
      </c>
      <c r="B29" s="13" t="s">
        <v>587</v>
      </c>
      <c r="C29" s="6">
        <v>3</v>
      </c>
      <c r="D29" s="8" t="s">
        <v>584</v>
      </c>
      <c r="E29" s="11"/>
      <c r="F29" s="16"/>
    </row>
    <row r="30" spans="1:6">
      <c r="A30" s="6">
        <v>26</v>
      </c>
      <c r="B30" s="13" t="s">
        <v>588</v>
      </c>
      <c r="C30" s="6">
        <v>3</v>
      </c>
      <c r="D30" s="8" t="s">
        <v>589</v>
      </c>
      <c r="E30" s="9" t="s">
        <v>398</v>
      </c>
      <c r="F30" s="16"/>
    </row>
    <row r="31" spans="1:6">
      <c r="A31" s="6">
        <v>27</v>
      </c>
      <c r="B31" s="13" t="s">
        <v>590</v>
      </c>
      <c r="C31" s="6">
        <v>4</v>
      </c>
      <c r="D31" s="8" t="s">
        <v>589</v>
      </c>
      <c r="E31" s="11"/>
      <c r="F31" s="16"/>
    </row>
    <row r="32" spans="1:6">
      <c r="A32" s="6">
        <v>28</v>
      </c>
      <c r="B32" s="13" t="s">
        <v>591</v>
      </c>
      <c r="C32" s="6">
        <v>1</v>
      </c>
      <c r="D32" s="8" t="s">
        <v>589</v>
      </c>
      <c r="E32" s="11"/>
      <c r="F32" s="16"/>
    </row>
    <row r="33" spans="1:6">
      <c r="A33" s="6">
        <v>29</v>
      </c>
      <c r="B33" s="13" t="s">
        <v>592</v>
      </c>
      <c r="C33" s="6">
        <v>2</v>
      </c>
      <c r="D33" s="8" t="s">
        <v>589</v>
      </c>
      <c r="E33" s="11"/>
      <c r="F33" s="16"/>
    </row>
    <row r="34" spans="1:6">
      <c r="A34" s="6">
        <v>30</v>
      </c>
      <c r="B34" s="13" t="s">
        <v>593</v>
      </c>
      <c r="C34" s="6">
        <v>0</v>
      </c>
      <c r="D34" s="8" t="s">
        <v>589</v>
      </c>
      <c r="E34" s="18"/>
      <c r="F34" s="16"/>
    </row>
    <row r="35" spans="1:6">
      <c r="A35" s="6">
        <v>31</v>
      </c>
      <c r="B35" s="13" t="s">
        <v>594</v>
      </c>
      <c r="C35" s="6">
        <v>1</v>
      </c>
      <c r="D35" s="8" t="s">
        <v>595</v>
      </c>
      <c r="E35" s="19" t="s">
        <v>596</v>
      </c>
      <c r="F35" s="16"/>
    </row>
    <row r="36" spans="1:6">
      <c r="A36" s="17">
        <v>32</v>
      </c>
      <c r="B36" s="13" t="s">
        <v>597</v>
      </c>
      <c r="C36" s="6">
        <v>0</v>
      </c>
      <c r="D36" s="8" t="s">
        <v>595</v>
      </c>
      <c r="E36" s="18"/>
      <c r="F36" s="16"/>
    </row>
    <row r="37" spans="1:6">
      <c r="A37" s="17">
        <v>33</v>
      </c>
      <c r="B37" s="13" t="s">
        <v>598</v>
      </c>
      <c r="C37" s="6">
        <v>1</v>
      </c>
      <c r="D37" s="8" t="s">
        <v>599</v>
      </c>
      <c r="E37" s="19" t="s">
        <v>404</v>
      </c>
      <c r="F37" s="16"/>
    </row>
    <row r="38" spans="1:6">
      <c r="A38" s="6">
        <v>34</v>
      </c>
      <c r="B38" s="13" t="s">
        <v>600</v>
      </c>
      <c r="C38" s="6">
        <v>0</v>
      </c>
      <c r="D38" s="8" t="s">
        <v>599</v>
      </c>
      <c r="E38" s="18"/>
      <c r="F38" s="16"/>
    </row>
    <row r="39" spans="1:6">
      <c r="A39" s="6">
        <v>35</v>
      </c>
      <c r="B39" s="13" t="s">
        <v>601</v>
      </c>
      <c r="C39" s="8" t="s">
        <v>602</v>
      </c>
      <c r="D39" s="8" t="s">
        <v>603</v>
      </c>
      <c r="E39" s="19" t="s">
        <v>406</v>
      </c>
      <c r="F39" s="16"/>
    </row>
    <row r="40" spans="1:6">
      <c r="A40" s="6">
        <v>36</v>
      </c>
      <c r="B40" s="13" t="s">
        <v>604</v>
      </c>
      <c r="C40" s="8" t="s">
        <v>602</v>
      </c>
      <c r="D40" s="8" t="s">
        <v>605</v>
      </c>
      <c r="E40" s="11"/>
      <c r="F40" s="16"/>
    </row>
    <row r="41" spans="1:6">
      <c r="A41" s="6">
        <v>37</v>
      </c>
      <c r="B41" s="13" t="s">
        <v>606</v>
      </c>
      <c r="C41" s="8" t="s">
        <v>602</v>
      </c>
      <c r="D41" s="8" t="s">
        <v>607</v>
      </c>
      <c r="E41" s="11"/>
      <c r="F41" s="16"/>
    </row>
    <row r="42" spans="1:6">
      <c r="A42" s="6">
        <v>38</v>
      </c>
      <c r="B42" s="13" t="s">
        <v>608</v>
      </c>
      <c r="C42" s="8" t="s">
        <v>602</v>
      </c>
      <c r="D42" s="8" t="s">
        <v>605</v>
      </c>
      <c r="E42" s="18"/>
      <c r="F42" s="16"/>
    </row>
    <row r="43" spans="1:6">
      <c r="A43" s="6">
        <v>39</v>
      </c>
      <c r="B43" s="13" t="s">
        <v>609</v>
      </c>
      <c r="C43" s="8" t="s">
        <v>540</v>
      </c>
      <c r="D43" s="8" t="s">
        <v>610</v>
      </c>
      <c r="E43" s="20" t="s">
        <v>611</v>
      </c>
      <c r="F43" s="16"/>
    </row>
    <row r="44" spans="1:6">
      <c r="A44" s="6">
        <v>40</v>
      </c>
      <c r="B44" s="13" t="s">
        <v>612</v>
      </c>
      <c r="C44" s="8" t="s">
        <v>534</v>
      </c>
      <c r="D44" s="8" t="s">
        <v>613</v>
      </c>
      <c r="E44" s="18"/>
      <c r="F44" s="16"/>
    </row>
    <row r="45" spans="1:6">
      <c r="A45" s="6">
        <v>41</v>
      </c>
      <c r="B45" s="13" t="s">
        <v>614</v>
      </c>
      <c r="C45" s="8" t="s">
        <v>615</v>
      </c>
      <c r="D45" s="8" t="s">
        <v>616</v>
      </c>
      <c r="E45" s="19" t="s">
        <v>162</v>
      </c>
      <c r="F45" s="16"/>
    </row>
    <row r="46" spans="1:6">
      <c r="A46" s="6">
        <v>42</v>
      </c>
      <c r="B46" s="13" t="s">
        <v>617</v>
      </c>
      <c r="C46" s="8" t="s">
        <v>615</v>
      </c>
      <c r="D46" s="8" t="s">
        <v>616</v>
      </c>
      <c r="E46" s="11"/>
      <c r="F46" s="16"/>
    </row>
    <row r="47" spans="1:6">
      <c r="A47" s="17">
        <v>43</v>
      </c>
      <c r="B47" s="13" t="s">
        <v>618</v>
      </c>
      <c r="C47" s="8" t="s">
        <v>619</v>
      </c>
      <c r="D47" s="8" t="s">
        <v>620</v>
      </c>
      <c r="E47" s="11"/>
      <c r="F47" s="16"/>
    </row>
    <row r="48" spans="1:6">
      <c r="A48" s="17">
        <v>44</v>
      </c>
      <c r="B48" s="13" t="s">
        <v>621</v>
      </c>
      <c r="C48" s="8" t="s">
        <v>619</v>
      </c>
      <c r="D48" s="8" t="s">
        <v>622</v>
      </c>
      <c r="E48" s="11"/>
      <c r="F48" s="21"/>
    </row>
    <row r="49" spans="1:6">
      <c r="A49" s="6">
        <v>45</v>
      </c>
      <c r="B49" s="13" t="s">
        <v>623</v>
      </c>
      <c r="C49" s="8" t="s">
        <v>619</v>
      </c>
      <c r="D49" s="8" t="s">
        <v>624</v>
      </c>
      <c r="E49" s="11"/>
      <c r="F49" s="22"/>
    </row>
    <row r="50" spans="1:6">
      <c r="A50" s="6">
        <v>46</v>
      </c>
      <c r="B50" s="13" t="s">
        <v>625</v>
      </c>
      <c r="C50" s="8" t="s">
        <v>619</v>
      </c>
      <c r="D50" s="8" t="s">
        <v>622</v>
      </c>
      <c r="E50" s="11"/>
      <c r="F50" s="22"/>
    </row>
    <row r="51" spans="1:6">
      <c r="A51" s="6">
        <v>47</v>
      </c>
      <c r="B51" s="13" t="s">
        <v>626</v>
      </c>
      <c r="C51" s="8" t="s">
        <v>619</v>
      </c>
      <c r="D51" s="8" t="s">
        <v>624</v>
      </c>
      <c r="E51" s="18"/>
      <c r="F51" s="23"/>
    </row>
    <row r="52" spans="1:6">
      <c r="A52" s="6">
        <v>48</v>
      </c>
      <c r="B52" s="13" t="s">
        <v>627</v>
      </c>
      <c r="C52" s="8" t="s">
        <v>628</v>
      </c>
      <c r="D52" s="8" t="s">
        <v>629</v>
      </c>
      <c r="E52" s="19" t="s">
        <v>356</v>
      </c>
      <c r="F52" s="5"/>
    </row>
    <row r="53" spans="1:6">
      <c r="A53" s="6">
        <v>49</v>
      </c>
      <c r="B53" s="13" t="s">
        <v>630</v>
      </c>
      <c r="C53" s="8" t="s">
        <v>628</v>
      </c>
      <c r="D53" s="8" t="s">
        <v>629</v>
      </c>
      <c r="E53" s="18"/>
      <c r="F53" s="5"/>
    </row>
    <row r="54" spans="1:6">
      <c r="A54" s="6">
        <v>50</v>
      </c>
      <c r="B54" s="13" t="s">
        <v>631</v>
      </c>
      <c r="C54" s="6">
        <v>1</v>
      </c>
      <c r="D54" s="135" t="s">
        <v>632</v>
      </c>
      <c r="E54" s="24" t="s">
        <v>162</v>
      </c>
      <c r="F54" s="5"/>
    </row>
    <row r="55" spans="1:6">
      <c r="A55" s="6">
        <v>51</v>
      </c>
      <c r="B55" s="13" t="s">
        <v>633</v>
      </c>
      <c r="C55" s="8" t="s">
        <v>634</v>
      </c>
      <c r="D55" s="5" t="s">
        <v>635</v>
      </c>
      <c r="E55" s="24" t="s">
        <v>162</v>
      </c>
      <c r="F55" s="3"/>
    </row>
    <row r="56" spans="1:6">
      <c r="A56" s="6">
        <v>52</v>
      </c>
      <c r="B56" s="13" t="s">
        <v>636</v>
      </c>
      <c r="C56" s="6">
        <v>1</v>
      </c>
      <c r="D56" s="135" t="s">
        <v>632</v>
      </c>
      <c r="E56" s="19" t="s">
        <v>162</v>
      </c>
      <c r="F56" s="3"/>
    </row>
    <row r="57" spans="1:6">
      <c r="A57" s="6">
        <v>53</v>
      </c>
      <c r="B57" s="13" t="s">
        <v>637</v>
      </c>
      <c r="C57" s="6">
        <v>2</v>
      </c>
      <c r="D57" s="5" t="s">
        <v>638</v>
      </c>
      <c r="E57" s="11"/>
      <c r="F57" s="3"/>
    </row>
    <row r="58" spans="1:6">
      <c r="A58" s="17">
        <v>54</v>
      </c>
      <c r="B58" s="13" t="s">
        <v>639</v>
      </c>
      <c r="C58" s="6">
        <v>0</v>
      </c>
      <c r="D58" s="5" t="s">
        <v>640</v>
      </c>
      <c r="E58" s="11"/>
      <c r="F58" s="3"/>
    </row>
    <row r="59" spans="1:6">
      <c r="A59" s="17">
        <v>55</v>
      </c>
      <c r="B59" s="13" t="s">
        <v>641</v>
      </c>
      <c r="C59" s="8" t="s">
        <v>642</v>
      </c>
      <c r="D59" s="8" t="s">
        <v>643</v>
      </c>
      <c r="E59" s="11"/>
      <c r="F59" s="3"/>
    </row>
    <row r="60" spans="1:6">
      <c r="A60" s="6">
        <v>56</v>
      </c>
      <c r="B60" s="13" t="s">
        <v>644</v>
      </c>
      <c r="C60" s="6">
        <v>2</v>
      </c>
      <c r="D60" s="5" t="s">
        <v>645</v>
      </c>
      <c r="E60" s="11"/>
      <c r="F60" s="3"/>
    </row>
    <row r="61" spans="1:6">
      <c r="A61" s="6">
        <v>57</v>
      </c>
      <c r="B61" s="13" t="s">
        <v>646</v>
      </c>
      <c r="C61" s="6">
        <v>0</v>
      </c>
      <c r="D61" s="5" t="s">
        <v>645</v>
      </c>
      <c r="E61" s="18"/>
      <c r="F61" s="3"/>
    </row>
    <row r="62" spans="1:6">
      <c r="A62" s="6">
        <v>58</v>
      </c>
      <c r="B62" s="13" t="s">
        <v>647</v>
      </c>
      <c r="C62" s="136" t="s">
        <v>632</v>
      </c>
      <c r="D62" s="135" t="s">
        <v>632</v>
      </c>
      <c r="E62" s="24" t="s">
        <v>162</v>
      </c>
      <c r="F62" s="3"/>
    </row>
    <row r="63" spans="1:6">
      <c r="A63" s="6">
        <v>59</v>
      </c>
      <c r="B63" s="13" t="s">
        <v>648</v>
      </c>
      <c r="C63" s="8" t="s">
        <v>649</v>
      </c>
      <c r="D63" s="136" t="s">
        <v>632</v>
      </c>
      <c r="E63" s="24" t="s">
        <v>162</v>
      </c>
      <c r="F63" s="3"/>
    </row>
    <row r="64" spans="1:6">
      <c r="A64" s="6">
        <v>60</v>
      </c>
      <c r="B64" s="5" t="s">
        <v>650</v>
      </c>
      <c r="C64" s="8" t="s">
        <v>162</v>
      </c>
      <c r="D64" s="8" t="s">
        <v>651</v>
      </c>
      <c r="E64" s="24" t="s">
        <v>162</v>
      </c>
      <c r="F64" s="3"/>
    </row>
    <row r="65" spans="1:6">
      <c r="A65" s="6">
        <v>61</v>
      </c>
      <c r="B65" s="5" t="s">
        <v>652</v>
      </c>
      <c r="C65" s="8">
        <v>0</v>
      </c>
      <c r="D65" s="8">
        <v>0</v>
      </c>
      <c r="E65" s="24" t="s">
        <v>162</v>
      </c>
      <c r="F65" s="3"/>
    </row>
    <row r="66" spans="1:6">
      <c r="A66" s="6">
        <v>62</v>
      </c>
      <c r="B66" s="5" t="s">
        <v>653</v>
      </c>
      <c r="C66" s="8">
        <v>0</v>
      </c>
      <c r="D66" s="8">
        <v>0</v>
      </c>
      <c r="E66" s="24" t="s">
        <v>162</v>
      </c>
      <c r="F66" s="3"/>
    </row>
    <row r="67" spans="1:6">
      <c r="A67" s="6">
        <v>63</v>
      </c>
      <c r="B67" s="5" t="s">
        <v>654</v>
      </c>
      <c r="C67" s="8" t="s">
        <v>578</v>
      </c>
      <c r="D67" s="8" t="s">
        <v>579</v>
      </c>
      <c r="E67" s="19" t="s">
        <v>356</v>
      </c>
      <c r="F67" s="3"/>
    </row>
    <row r="68" spans="1:6">
      <c r="A68" s="6">
        <v>64</v>
      </c>
      <c r="B68" s="5" t="s">
        <v>655</v>
      </c>
      <c r="C68" s="8" t="s">
        <v>578</v>
      </c>
      <c r="D68" s="8" t="s">
        <v>579</v>
      </c>
      <c r="E68" s="18"/>
      <c r="F68" s="3"/>
    </row>
    <row r="69" spans="1:6">
      <c r="A69" s="6">
        <v>65</v>
      </c>
      <c r="B69" s="5" t="s">
        <v>656</v>
      </c>
      <c r="C69" s="8" t="s">
        <v>552</v>
      </c>
      <c r="D69" s="8" t="s">
        <v>574</v>
      </c>
      <c r="E69" s="24" t="s">
        <v>162</v>
      </c>
      <c r="F69" s="3"/>
    </row>
    <row r="70" spans="1:6">
      <c r="A70" s="6">
        <v>66</v>
      </c>
      <c r="B70" s="5" t="s">
        <v>657</v>
      </c>
      <c r="C70" s="8">
        <v>0</v>
      </c>
      <c r="D70" s="8" t="s">
        <v>576</v>
      </c>
      <c r="E70" s="24" t="s">
        <v>356</v>
      </c>
      <c r="F70" s="3"/>
    </row>
    <row r="71" spans="1:6">
      <c r="A71" s="6">
        <v>67</v>
      </c>
      <c r="B71" s="5" t="s">
        <v>658</v>
      </c>
      <c r="C71" s="8"/>
      <c r="D71" s="8"/>
      <c r="E71" s="24" t="s">
        <v>162</v>
      </c>
      <c r="F71" s="3"/>
    </row>
    <row r="72" spans="1:6">
      <c r="A72" s="6">
        <v>68</v>
      </c>
      <c r="B72" s="5" t="s">
        <v>659</v>
      </c>
      <c r="C72" s="8" t="s">
        <v>660</v>
      </c>
      <c r="D72" s="8" t="s">
        <v>661</v>
      </c>
      <c r="E72" s="24" t="s">
        <v>162</v>
      </c>
      <c r="F72" s="3"/>
    </row>
    <row r="73" spans="1:6">
      <c r="A73" s="6">
        <v>69</v>
      </c>
      <c r="B73" s="5" t="s">
        <v>662</v>
      </c>
      <c r="C73" s="8" t="s">
        <v>619</v>
      </c>
      <c r="D73" s="8" t="s">
        <v>663</v>
      </c>
      <c r="E73" s="24" t="s">
        <v>162</v>
      </c>
      <c r="F73" s="3"/>
    </row>
    <row r="74" spans="1:6">
      <c r="A74" s="6">
        <v>70</v>
      </c>
      <c r="B74" s="5" t="s">
        <v>664</v>
      </c>
      <c r="C74" s="8" t="s">
        <v>619</v>
      </c>
      <c r="D74" s="8" t="s">
        <v>663</v>
      </c>
      <c r="E74" s="24" t="s">
        <v>162</v>
      </c>
      <c r="F74" s="3"/>
    </row>
    <row r="75" spans="1:6">
      <c r="A75" s="8" t="s">
        <v>58</v>
      </c>
      <c r="B75" s="5" t="s">
        <v>58</v>
      </c>
      <c r="C75" s="8" t="s">
        <v>58</v>
      </c>
      <c r="D75" s="8" t="s">
        <v>58</v>
      </c>
      <c r="E75" s="24" t="s">
        <v>58</v>
      </c>
      <c r="F75" s="3"/>
    </row>
    <row r="76" spans="1:6">
      <c r="A76" s="6">
        <v>128</v>
      </c>
      <c r="B76" s="5" t="s">
        <v>665</v>
      </c>
      <c r="C76" s="8">
        <v>1</v>
      </c>
      <c r="D76" s="8" t="s">
        <v>666</v>
      </c>
      <c r="E76" s="24" t="s">
        <v>162</v>
      </c>
      <c r="F76" s="3"/>
    </row>
    <row r="77" spans="1:6">
      <c r="A77" s="6">
        <v>129</v>
      </c>
      <c r="B77" s="5" t="s">
        <v>667</v>
      </c>
      <c r="C77" s="8">
        <v>1</v>
      </c>
      <c r="D77" s="8" t="s">
        <v>666</v>
      </c>
      <c r="E77" s="24" t="s">
        <v>162</v>
      </c>
      <c r="F77" s="3"/>
    </row>
    <row r="78" spans="1:6">
      <c r="A78" s="6">
        <v>130</v>
      </c>
      <c r="B78" s="5" t="s">
        <v>668</v>
      </c>
      <c r="C78" s="8">
        <v>1</v>
      </c>
      <c r="D78" s="8" t="s">
        <v>666</v>
      </c>
      <c r="E78" s="24" t="s">
        <v>162</v>
      </c>
      <c r="F78" s="3"/>
    </row>
    <row r="79" spans="1:6">
      <c r="A79" s="6">
        <v>131</v>
      </c>
      <c r="B79" s="5" t="s">
        <v>669</v>
      </c>
      <c r="C79" s="8">
        <v>1</v>
      </c>
      <c r="D79" s="8" t="s">
        <v>666</v>
      </c>
      <c r="E79" s="24" t="s">
        <v>162</v>
      </c>
      <c r="F79" s="3"/>
    </row>
    <row r="81" spans="2:2">
      <c r="B81" s="25"/>
    </row>
  </sheetData>
  <sheetProtection algorithmName="SHA-512" hashValue="VRQ9bHKAb5l/fo2Tn7cKsNjMxqst9/wYxSvBCg86Q5Ng55FkeXMg9trsigTlN1a8cOHMVb4SszilS+642rj/ug==" saltValue="ijy3+uKdc46jSehwNBl1OA==" spinCount="100000" sheet="1" objects="1" scenarios="1"/>
  <mergeCells count="13">
    <mergeCell ref="E5:E12"/>
    <mergeCell ref="E13:E25"/>
    <mergeCell ref="E26:E29"/>
    <mergeCell ref="E30:E34"/>
    <mergeCell ref="E35:E36"/>
    <mergeCell ref="E37:E38"/>
    <mergeCell ref="E39:E42"/>
    <mergeCell ref="E43:E44"/>
    <mergeCell ref="E45:E51"/>
    <mergeCell ref="E52:E53"/>
    <mergeCell ref="E56:E61"/>
    <mergeCell ref="E67:E68"/>
    <mergeCell ref="A1:F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:I19"/>
    </sheetView>
  </sheetViews>
  <sheetFormatPr defaultColWidth="9" defaultRowHeight="13.5"/>
  <sheetData>
    <row r="1" ht="14.55" customHeight="1" spans="1:9">
      <c r="A1" s="1" t="s">
        <v>670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ht="87" customHeight="1" spans="1:9">
      <c r="A19" s="1"/>
      <c r="B19" s="1"/>
      <c r="C19" s="1"/>
      <c r="D19" s="1"/>
      <c r="E19" s="1"/>
      <c r="F19" s="1"/>
      <c r="G19" s="1"/>
      <c r="H19" s="1"/>
      <c r="I19" s="1"/>
    </row>
  </sheetData>
  <sheetProtection algorithmName="SHA-512" hashValue="WQ8FDrWg00jXEleV1BVnGvJBQU+UACKa3GExYeK1wMGd8+7R1A+w8f5I/iqL19dW5UCtxjqbRcbXDeGNQfOB8g==" saltValue="En1RHJq4LF/IaZCu/SEJVg==" spinCount="100000" sheet="1" objects="1" scenarios="1"/>
  <mergeCells count="1">
    <mergeCell ref="A1:I1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点表</vt:lpstr>
      <vt:lpstr>CMU SOE</vt:lpstr>
      <vt:lpstr>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hjj-sinxt</dc:creator>
  <cp:lastModifiedBy>Ganing</cp:lastModifiedBy>
  <dcterms:created xsi:type="dcterms:W3CDTF">2017-03-18T02:12:00Z</dcterms:created>
  <cp:lastPrinted>2018-07-05T09:15:00Z</cp:lastPrinted>
  <dcterms:modified xsi:type="dcterms:W3CDTF">2022-02-18T01:55:14Z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626E3737DF964E53BA23F4F505DE0B09</vt:lpwstr>
  </property>
</Properties>
</file>