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Cubox\WorkFile\CMU\01Document\"/>
    </mc:Choice>
  </mc:AlternateContent>
  <workbookProtection workbookAlgorithmName="SHA-512" workbookHashValue="4VJnLapQkU2i7yBQGJyx4v6SjDvpgYcCaPZX2YNBX+d5RsxF6qU0yDPTKX0Dafd2QKp5947FD8SJwZ/L58ErIQ==" workbookSaltValue="pqulgls00UgVubR7UUxPEw==" workbookSpinCount="100000" lockStructure="1"/>
  <bookViews>
    <workbookView xWindow="-108" yWindow="-108" windowWidth="22524" windowHeight="13284"/>
  </bookViews>
  <sheets>
    <sheet name="点表" sheetId="1" r:id="rId1"/>
    <sheet name="CMU SOE" sheetId="3" r:id="rId2"/>
    <sheet name="变更记录" sheetId="2" r:id="rId3"/>
  </sheets>
  <calcPr calcId="152511"/>
</workbook>
</file>

<file path=xl/calcChain.xml><?xml version="1.0" encoding="utf-8"?>
<calcChain xmlns="http://schemas.openxmlformats.org/spreadsheetml/2006/main">
  <c r="D97" i="1" l="1"/>
  <c r="A97" i="1"/>
  <c r="A110" i="1" l="1"/>
  <c r="A114" i="1" s="1"/>
  <c r="A113" i="1" s="1"/>
  <c r="A108" i="1"/>
  <c r="A107" i="1" s="1"/>
  <c r="A111" i="1" l="1"/>
  <c r="D102" i="1"/>
  <c r="D104" i="1" s="1"/>
  <c r="A102" i="1"/>
  <c r="D96" i="1"/>
  <c r="D95" i="1" s="1"/>
  <c r="D94" i="1" s="1"/>
  <c r="D93" i="1" s="1"/>
  <c r="A96" i="1"/>
  <c r="A95" i="1" s="1"/>
  <c r="A94" i="1" s="1"/>
  <c r="A93" i="1" s="1"/>
  <c r="D110" i="1" l="1"/>
  <c r="D111" i="1" s="1"/>
  <c r="D108" i="1"/>
  <c r="D107" i="1" s="1"/>
  <c r="D114" i="1"/>
  <c r="D113" i="1" s="1"/>
  <c r="D105" i="1"/>
  <c r="A84" i="1"/>
  <c r="A83" i="1" s="1"/>
  <c r="A81" i="1"/>
  <c r="A80" i="1"/>
  <c r="A47" i="1" l="1"/>
  <c r="A48" i="1"/>
  <c r="D249" i="1" l="1"/>
  <c r="D250" i="1" s="1"/>
  <c r="D252" i="1" l="1"/>
  <c r="D253" i="1" s="1"/>
  <c r="D255" i="1" s="1"/>
  <c r="A249" i="1"/>
  <c r="A252" i="1" s="1"/>
  <c r="A253" i="1" s="1"/>
  <c r="A255" i="1" s="1"/>
  <c r="D242" i="1"/>
  <c r="D245" i="1" s="1"/>
  <c r="D246" i="1" s="1"/>
  <c r="D248" i="1" s="1"/>
  <c r="A242" i="1"/>
  <c r="A245" i="1" s="1"/>
  <c r="A246" i="1" s="1"/>
  <c r="A248" i="1" s="1"/>
  <c r="A230" i="1"/>
  <c r="A231" i="1" s="1"/>
  <c r="A233" i="1" s="1"/>
  <c r="A234" i="1" s="1"/>
  <c r="D230" i="1"/>
  <c r="D231" i="1" s="1"/>
  <c r="D233" i="1" s="1"/>
  <c r="D234" i="1" s="1"/>
  <c r="D224" i="1"/>
  <c r="D223" i="1" s="1"/>
  <c r="D220" i="1"/>
  <c r="D221" i="1" s="1"/>
  <c r="A224" i="1"/>
  <c r="A223" i="1" s="1"/>
  <c r="A220" i="1"/>
  <c r="A221" i="1" s="1"/>
  <c r="D219" i="1"/>
  <c r="D218" i="1" s="1"/>
  <c r="D213" i="1"/>
  <c r="D212" i="1" s="1"/>
  <c r="D208" i="1"/>
  <c r="D207" i="1" s="1"/>
  <c r="D215" i="1"/>
  <c r="D216" i="1" s="1"/>
  <c r="A215" i="1"/>
  <c r="A216" i="1" s="1"/>
  <c r="A219" i="1"/>
  <c r="A218" i="1" s="1"/>
  <c r="A213" i="1"/>
  <c r="A212" i="1" s="1"/>
  <c r="A210" i="1"/>
  <c r="A209" i="1"/>
  <c r="A208" i="1"/>
  <c r="A207" i="1"/>
  <c r="A40" i="1"/>
  <c r="A41" i="1"/>
  <c r="A34" i="1"/>
  <c r="A33" i="1"/>
  <c r="A26" i="1"/>
  <c r="A27" i="1"/>
  <c r="D84" i="1"/>
  <c r="D24" i="1"/>
  <c r="D27" i="1"/>
  <c r="D26" i="1" s="1"/>
  <c r="D83" i="1" l="1"/>
  <c r="A243" i="1"/>
  <c r="D237" i="1"/>
  <c r="D238" i="1" s="1"/>
  <c r="D240" i="1" s="1"/>
  <c r="D235" i="1"/>
  <c r="A250" i="1"/>
  <c r="D243" i="1"/>
  <c r="A237" i="1"/>
  <c r="A238" i="1" s="1"/>
  <c r="A240" i="1" s="1"/>
  <c r="A235" i="1"/>
  <c r="D209" i="1"/>
  <c r="D210" i="1" s="1"/>
  <c r="D30" i="1"/>
  <c r="D31" i="1" s="1"/>
  <c r="D34" i="1" l="1"/>
  <c r="D33" i="1" s="1"/>
  <c r="D37" i="1" l="1"/>
  <c r="D41" i="1" s="1"/>
  <c r="D40" i="1" l="1"/>
  <c r="D44" i="1"/>
  <c r="D38" i="1"/>
  <c r="D45" i="1" l="1"/>
  <c r="D48" i="1"/>
  <c r="D47" i="1" s="1"/>
</calcChain>
</file>

<file path=xl/sharedStrings.xml><?xml version="1.0" encoding="utf-8"?>
<sst xmlns="http://schemas.openxmlformats.org/spreadsheetml/2006/main" count="2157" uniqueCount="719">
  <si>
    <t>序号</t>
  </si>
  <si>
    <t>含义</t>
  </si>
  <si>
    <t>地址</t>
  </si>
  <si>
    <t>字节数</t>
  </si>
  <si>
    <t>格式</t>
  </si>
  <si>
    <t>推荐范围及单位</t>
  </si>
  <si>
    <t>读写</t>
  </si>
  <si>
    <t>引至设备</t>
  </si>
  <si>
    <t>备注</t>
  </si>
  <si>
    <t>无符号整数</t>
  </si>
  <si>
    <t>0.0001V</t>
  </si>
  <si>
    <t>只读</t>
  </si>
  <si>
    <t>有符号整数</t>
  </si>
  <si>
    <t>0.1℃</t>
  </si>
  <si>
    <t>nBP1 电压采集线束断线状态</t>
  </si>
  <si>
    <t>无符号数</t>
  </si>
  <si>
    <t>nBP2 电压采集线束断线状态</t>
  </si>
  <si>
    <t>nBP1 温度采集线束断线状态</t>
  </si>
  <si>
    <t>nBP2 温度采集线束断线状态</t>
  </si>
  <si>
    <t>nBC 单体电池电压最大值</t>
  </si>
  <si>
    <t>nBC 电压最大单体电池编号</t>
  </si>
  <si>
    <t>nBC 单体电池电压最小值</t>
  </si>
  <si>
    <t>nBC 电压最小单体电池编号</t>
  </si>
  <si>
    <t>nBC 电池模组温度最高值</t>
  </si>
  <si>
    <t>nBC 温度最高电池模组编号</t>
  </si>
  <si>
    <t>nBC 电池模组温度最低值</t>
  </si>
  <si>
    <t>nBC 温度最低电池模组编号</t>
  </si>
  <si>
    <t>nBC Pack极柱温度最高值</t>
  </si>
  <si>
    <t>nBC 温度最高Pack编号</t>
  </si>
  <si>
    <t>nBC 最大单体电压差值</t>
  </si>
  <si>
    <t>nBC 最大电池模组温差值</t>
  </si>
  <si>
    <t>nBC 最大电池模组温升值</t>
  </si>
  <si>
    <t>nBC 最大温升电池模组编号</t>
  </si>
  <si>
    <t>nBC SOC</t>
  </si>
  <si>
    <t>nBC SOH</t>
  </si>
  <si>
    <t>nBC 直流功率</t>
  </si>
  <si>
    <t>nBC 累计充电量</t>
  </si>
  <si>
    <t>nBC 累计放电量</t>
  </si>
  <si>
    <t>nBC 累计充电时间</t>
  </si>
  <si>
    <t>nBC 累计放电时间</t>
  </si>
  <si>
    <t>nBC 累计充电次数</t>
  </si>
  <si>
    <t>nBC 单体电池电压越上限告警值</t>
  </si>
  <si>
    <t>nBC 单体电池电压越上上限保护值</t>
  </si>
  <si>
    <t>nBC 单体电池电压越下限告警值</t>
  </si>
  <si>
    <t>0.0001V，默认2.6V，范围：1.80-3.00V</t>
  </si>
  <si>
    <t>nBC 单体电池温度越上限告警值</t>
  </si>
  <si>
    <t>nBC 单体电池温度越上上限保护值</t>
  </si>
  <si>
    <t>0.1℃，默认55℃，范围：55-70℃</t>
  </si>
  <si>
    <t>nBC 单体电池温度越下限告警值</t>
  </si>
  <si>
    <t>nBC 单体电池温度越下下限保护值</t>
  </si>
  <si>
    <t>0.1℃，默认-5℃，范围：-15-0℃</t>
  </si>
  <si>
    <t>nBC 单体电池温差越上限告警值</t>
  </si>
  <si>
    <t>nBC 单体电池温差越上上限保护值</t>
  </si>
  <si>
    <t>nBC 单体电池温升越上限告警值</t>
  </si>
  <si>
    <t>nBC 单体电池温升越上上限保护值</t>
  </si>
  <si>
    <t>nBC Pack极柱温度越上上限保护值</t>
  </si>
  <si>
    <t>nBC 充放电电流越上限过负荷告警值</t>
  </si>
  <si>
    <t>nBC 充放电电流越上上限过负荷保护值</t>
  </si>
  <si>
    <t>nBC 短路电流保护值</t>
  </si>
  <si>
    <t>nBC 簇电压越上限告警值</t>
  </si>
  <si>
    <t>nBC 簇电压越上上限保护值</t>
  </si>
  <si>
    <t>nBC 簇电压越下限告警值</t>
  </si>
  <si>
    <t>nBC 簇电压越下下限保护值</t>
  </si>
  <si>
    <t>nBC 保护延时</t>
  </si>
  <si>
    <t>nBC 簇电池容量</t>
  </si>
  <si>
    <t>nBC 簇电池单元数量</t>
  </si>
  <si>
    <t>nBC 簇电池校正容量</t>
  </si>
  <si>
    <t>nBC 簇电池剩余电量</t>
  </si>
  <si>
    <t>nBC 充放电额定电流</t>
  </si>
  <si>
    <t>电池均衡控制模式</t>
  </si>
  <si>
    <t>均衡启动电压差值</t>
  </si>
  <si>
    <t>IP地址低位</t>
  </si>
  <si>
    <t>IP地址高位</t>
  </si>
  <si>
    <t>对时信号</t>
  </si>
  <si>
    <t>只写</t>
  </si>
  <si>
    <t>恢复出厂设置</t>
  </si>
  <si>
    <t>清除电量统计值</t>
  </si>
  <si>
    <t>无符号整数</t>
    <phoneticPr fontId="2" type="noConversion"/>
  </si>
  <si>
    <t>只写</t>
    <phoneticPr fontId="2" type="noConversion"/>
  </si>
  <si>
    <t>重启</t>
    <phoneticPr fontId="2" type="noConversion"/>
  </si>
  <si>
    <t>校准量程</t>
    <phoneticPr fontId="2" type="noConversion"/>
  </si>
  <si>
    <t>位</t>
    <phoneticPr fontId="2" type="noConversion"/>
  </si>
  <si>
    <t>只读</t>
    <phoneticPr fontId="2" type="noConversion"/>
  </si>
  <si>
    <t>0.0001V，默认3.55V，范围：3.00-4.20V</t>
    <phoneticPr fontId="2" type="noConversion"/>
  </si>
  <si>
    <t>0.0001V，默认3.65V，范围：3.30-4.20V</t>
    <phoneticPr fontId="2" type="noConversion"/>
  </si>
  <si>
    <t>0.0001V，默认2.8V，范围：1.80-3.30V</t>
    <phoneticPr fontId="2" type="noConversion"/>
  </si>
  <si>
    <t>0.1℃，默认45℃，范围：20-70℃</t>
    <phoneticPr fontId="2" type="noConversion"/>
  </si>
  <si>
    <t>0.1℃，默认5℃，范围：-15-20℃</t>
    <phoneticPr fontId="2" type="noConversion"/>
  </si>
  <si>
    <t>0.1℃，默认10℃，范围：3-20℃</t>
    <phoneticPr fontId="2" type="noConversion"/>
  </si>
  <si>
    <t>0.1℃，默认14℃，范围：10-20℃</t>
    <phoneticPr fontId="2" type="noConversion"/>
  </si>
  <si>
    <t>0.1℃/Min，默认4℃/Min，范围：0-12℃</t>
    <phoneticPr fontId="2" type="noConversion"/>
  </si>
  <si>
    <t>0.1℃/Min，默认6℃/Min，范围：8-12℃</t>
    <phoneticPr fontId="2" type="noConversion"/>
  </si>
  <si>
    <t>0.1℃，默认50℃，范围：25-75℃</t>
    <phoneticPr fontId="2" type="noConversion"/>
  </si>
  <si>
    <t>0.1℃，默认60℃，范围：60-75℃</t>
    <phoneticPr fontId="2" type="noConversion"/>
  </si>
  <si>
    <t>0.1V，766.8V,默认范围:0-1000V</t>
    <phoneticPr fontId="2" type="noConversion"/>
  </si>
  <si>
    <t>0.1V，788.4V,默认范围:0-1000V</t>
    <phoneticPr fontId="2" type="noConversion"/>
  </si>
  <si>
    <t>0.1V，604.8V,默认范围:0-1000V</t>
    <phoneticPr fontId="2" type="noConversion"/>
  </si>
  <si>
    <t>0.1kWh,默认155kWh</t>
    <phoneticPr fontId="2" type="noConversion"/>
  </si>
  <si>
    <t>0.1kWh，默认155kWh，范围：0-155kWh</t>
    <phoneticPr fontId="2" type="noConversion"/>
  </si>
  <si>
    <t>0.1kWh，范围：0-155kWh</t>
    <phoneticPr fontId="2" type="noConversion"/>
  </si>
  <si>
    <t>0.1V，默认561.6V,范围:0-1000V</t>
    <phoneticPr fontId="2" type="noConversion"/>
  </si>
  <si>
    <t>nBC 告警延时</t>
    <phoneticPr fontId="2" type="noConversion"/>
  </si>
  <si>
    <t>同上</t>
    <phoneticPr fontId="2" type="noConversion"/>
  </si>
  <si>
    <t>仅供测试用</t>
    <phoneticPr fontId="2" type="noConversion"/>
  </si>
  <si>
    <t>BMU1</t>
  </si>
  <si>
    <t>BP1 B1电压</t>
  </si>
  <si>
    <t>BP1 B2电压</t>
  </si>
  <si>
    <t>BP1 1#模组温度</t>
  </si>
  <si>
    <t>BP1 2#模组温度</t>
  </si>
  <si>
    <t>事件类型编号</t>
    <phoneticPr fontId="2" type="noConversion"/>
  </si>
  <si>
    <t>事件类型</t>
    <phoneticPr fontId="2" type="noConversion"/>
  </si>
  <si>
    <t>ID</t>
    <phoneticPr fontId="2" type="noConversion"/>
  </si>
  <si>
    <t>存储数据及类型</t>
    <phoneticPr fontId="2" type="noConversion"/>
  </si>
  <si>
    <t>备注</t>
    <phoneticPr fontId="2" type="noConversion"/>
  </si>
  <si>
    <t>最小温度ID</t>
    <phoneticPr fontId="2" type="noConversion"/>
  </si>
  <si>
    <t>最大温度ID</t>
    <phoneticPr fontId="2" type="noConversion"/>
  </si>
  <si>
    <t>保留</t>
    <phoneticPr fontId="2" type="noConversion"/>
  </si>
  <si>
    <t>最大极柱温度ID</t>
    <phoneticPr fontId="2" type="noConversion"/>
  </si>
  <si>
    <t>0.1A</t>
    <phoneticPr fontId="2" type="noConversion"/>
  </si>
  <si>
    <t>0.1V</t>
    <phoneticPr fontId="2" type="noConversion"/>
  </si>
  <si>
    <t>0.1℃</t>
    <phoneticPr fontId="2" type="noConversion"/>
  </si>
  <si>
    <t>nBC 簇电池漏电流保护值</t>
    <phoneticPr fontId="2" type="noConversion"/>
  </si>
  <si>
    <t>nBMU通讯状态2</t>
    <phoneticPr fontId="2" type="noConversion"/>
  </si>
  <si>
    <t>1%，默认充放电额定电流的105%，范围：0%-300%</t>
    <phoneticPr fontId="2" type="noConversion"/>
  </si>
  <si>
    <t>1%，默认充放电额定电流的110%，范围：0%-300%</t>
    <phoneticPr fontId="2" type="noConversion"/>
  </si>
  <si>
    <t>nCMU</t>
    <phoneticPr fontId="2" type="noConversion"/>
  </si>
  <si>
    <t>0x01</t>
    <phoneticPr fontId="2" type="noConversion"/>
  </si>
  <si>
    <t>--</t>
    <phoneticPr fontId="2" type="noConversion"/>
  </si>
  <si>
    <t>nCMU 16位操作-内部寄存器:读多个寄存器(03)</t>
    <phoneticPr fontId="2" type="noConversion"/>
  </si>
  <si>
    <t>系统时间和状态</t>
    <phoneticPr fontId="2" type="noConversion"/>
  </si>
  <si>
    <t>系统时间</t>
    <phoneticPr fontId="2" type="noConversion"/>
  </si>
  <si>
    <t>nBMU通讯状态1</t>
    <phoneticPr fontId="2" type="noConversion"/>
  </si>
  <si>
    <t>nBC系统状态寄存器1</t>
    <phoneticPr fontId="2" type="noConversion"/>
  </si>
  <si>
    <t>nBC系统状态寄存器2</t>
    <phoneticPr fontId="2" type="noConversion"/>
  </si>
  <si>
    <t>Bit0：nBMU1通讯状态，1为在线，0为离线；
… … … … 
Bit31：nBMU32通讯状态，1为在线，0为离线；</t>
    <phoneticPr fontId="2" type="noConversion"/>
  </si>
  <si>
    <t>nCMU</t>
    <phoneticPr fontId="2" type="noConversion"/>
  </si>
  <si>
    <t>nBP2 BMU运行状态</t>
    <phoneticPr fontId="2" type="noConversion"/>
  </si>
  <si>
    <t>同上</t>
    <phoneticPr fontId="2" type="noConversion"/>
  </si>
  <si>
    <t>Bit0：拨码开关异常告警，0：正常，1：告警；
Bit1：CAN通信地址锁定状态，0：正常，1：锁定；
其它：保留</t>
    <phoneticPr fontId="2" type="noConversion"/>
  </si>
  <si>
    <t>系统能量参数</t>
    <phoneticPr fontId="2" type="noConversion"/>
  </si>
  <si>
    <t>百分比，精度:0.1%</t>
    <phoneticPr fontId="2" type="noConversion"/>
  </si>
  <si>
    <t>0x400</t>
    <phoneticPr fontId="2" type="noConversion"/>
  </si>
  <si>
    <t>nBC 当前剩余电量</t>
    <phoneticPr fontId="2" type="noConversion"/>
  </si>
  <si>
    <t>nBC 当前充电电量</t>
    <phoneticPr fontId="2" type="noConversion"/>
  </si>
  <si>
    <t>nBC 当前放电电量</t>
    <phoneticPr fontId="2" type="noConversion"/>
  </si>
  <si>
    <t>nBC 当前输入库伦</t>
    <phoneticPr fontId="2" type="noConversion"/>
  </si>
  <si>
    <t>nBC 当前输出库伦</t>
    <phoneticPr fontId="2" type="noConversion"/>
  </si>
  <si>
    <t>nBC 累计输入库伦</t>
    <phoneticPr fontId="2" type="noConversion"/>
  </si>
  <si>
    <t>nBC 累计输出库伦</t>
    <phoneticPr fontId="2" type="noConversion"/>
  </si>
  <si>
    <t>nBC 当前充电时间</t>
    <phoneticPr fontId="2" type="noConversion"/>
  </si>
  <si>
    <t>nBC 当前放电时间</t>
    <phoneticPr fontId="2" type="noConversion"/>
  </si>
  <si>
    <t>0x500</t>
    <phoneticPr fontId="2" type="noConversion"/>
  </si>
  <si>
    <t>事件信息</t>
    <phoneticPr fontId="2" type="noConversion"/>
  </si>
  <si>
    <t>nCMU 事件</t>
    <phoneticPr fontId="2" type="noConversion"/>
  </si>
  <si>
    <t>见SOE</t>
    <phoneticPr fontId="2" type="noConversion"/>
  </si>
  <si>
    <t>最小电压ID</t>
    <phoneticPr fontId="2" type="noConversion"/>
  </si>
  <si>
    <t>最大电压ID</t>
    <phoneticPr fontId="2" type="noConversion"/>
  </si>
  <si>
    <t>0.0001V</t>
    <phoneticPr fontId="2" type="noConversion"/>
  </si>
  <si>
    <t>SOC-V表</t>
    <phoneticPr fontId="2" type="noConversion"/>
  </si>
  <si>
    <t>0x1000</t>
    <phoneticPr fontId="2" type="noConversion"/>
  </si>
  <si>
    <t>读/写</t>
    <phoneticPr fontId="2" type="noConversion"/>
  </si>
  <si>
    <t>系统SOC-V表</t>
    <phoneticPr fontId="2" type="noConversion"/>
  </si>
  <si>
    <t>102*2</t>
    <phoneticPr fontId="2" type="noConversion"/>
  </si>
  <si>
    <t>保留</t>
    <phoneticPr fontId="2" type="noConversion"/>
  </si>
  <si>
    <t>nBC 簇电池绝缘电阻保护值</t>
    <phoneticPr fontId="2" type="noConversion"/>
  </si>
  <si>
    <t>nBC 电流传感器量程</t>
    <phoneticPr fontId="2" type="noConversion"/>
  </si>
  <si>
    <t>nBC 电压传感器量程</t>
    <phoneticPr fontId="2" type="noConversion"/>
  </si>
  <si>
    <t>nBC 漏电流传感器量程</t>
    <phoneticPr fontId="2" type="noConversion"/>
  </si>
  <si>
    <t>BMU单体电池个数</t>
    <phoneticPr fontId="2" type="noConversion"/>
  </si>
  <si>
    <t>BMU模组温度个数</t>
    <phoneticPr fontId="2" type="noConversion"/>
  </si>
  <si>
    <t>BMU极柱温度个数</t>
    <phoneticPr fontId="2" type="noConversion"/>
  </si>
  <si>
    <t>1mA，默认10mA，范围10-100mA</t>
    <phoneticPr fontId="2" type="noConversion"/>
  </si>
  <si>
    <t>1个，默认18个，范围：1-60个</t>
    <phoneticPr fontId="2" type="noConversion"/>
  </si>
  <si>
    <t>1个，默认12个，范围：1-16个</t>
    <phoneticPr fontId="2" type="noConversion"/>
  </si>
  <si>
    <t>1个，默认4个，范围：1-12个</t>
    <phoneticPr fontId="2" type="noConversion"/>
  </si>
  <si>
    <t>1个，默认2个，范围：1-6个</t>
    <phoneticPr fontId="2" type="noConversion"/>
  </si>
  <si>
    <t>nCMU 16位操作-模拟量输入:读输入寄存器(04)</t>
    <phoneticPr fontId="2" type="noConversion"/>
  </si>
  <si>
    <t>0x01</t>
    <phoneticPr fontId="2" type="noConversion"/>
  </si>
  <si>
    <t>BP2 B1电压</t>
    <phoneticPr fontId="2" type="noConversion"/>
  </si>
  <si>
    <t>BP2 B2电压</t>
    <phoneticPr fontId="2" type="noConversion"/>
  </si>
  <si>
    <t>配置参数</t>
    <phoneticPr fontId="2" type="noConversion"/>
  </si>
  <si>
    <t>…</t>
    <phoneticPr fontId="2" type="noConversion"/>
  </si>
  <si>
    <t>0.1℃</t>
    <phoneticPr fontId="2" type="noConversion"/>
  </si>
  <si>
    <t>BP2 2#模组温度</t>
    <phoneticPr fontId="2" type="noConversion"/>
  </si>
  <si>
    <t>BP2 1#模组温度</t>
    <phoneticPr fontId="2" type="noConversion"/>
  </si>
  <si>
    <t>0x1500</t>
    <phoneticPr fontId="2" type="noConversion"/>
  </si>
  <si>
    <t>nBC 最大模组电压值</t>
    <phoneticPr fontId="2" type="noConversion"/>
  </si>
  <si>
    <t>nBC 最大模组电压ID</t>
    <phoneticPr fontId="2" type="noConversion"/>
  </si>
  <si>
    <t>0.001V</t>
    <phoneticPr fontId="2" type="noConversion"/>
  </si>
  <si>
    <t>系统模拟量数据</t>
    <phoneticPr fontId="2" type="noConversion"/>
  </si>
  <si>
    <t>nBC 簇电压</t>
    <phoneticPr fontId="2" type="noConversion"/>
  </si>
  <si>
    <t>nBC 簇正母线绝缘电阻值</t>
    <phoneticPr fontId="2" type="noConversion"/>
  </si>
  <si>
    <t>nBC 簇负母线绝缘电阻值</t>
    <phoneticPr fontId="2" type="noConversion"/>
  </si>
  <si>
    <t>nBC 簇漏电流值</t>
    <phoneticPr fontId="2" type="noConversion"/>
  </si>
  <si>
    <t>nBC 簇总电流值</t>
    <phoneticPr fontId="2" type="noConversion"/>
  </si>
  <si>
    <t>0.1V</t>
    <phoneticPr fontId="2" type="noConversion"/>
  </si>
  <si>
    <t>nBC 簇绝缘电阻</t>
    <phoneticPr fontId="2" type="noConversion"/>
  </si>
  <si>
    <r>
      <t>0.1K</t>
    </r>
    <r>
      <rPr>
        <sz val="11"/>
        <color theme="1"/>
        <rFont val="Times New Roman"/>
        <family val="1"/>
      </rPr>
      <t>Ω</t>
    </r>
    <phoneticPr fontId="2" type="noConversion"/>
  </si>
  <si>
    <t>nCMU 位操作-开关量输出:写单个线圈(05)</t>
    <phoneticPr fontId="2" type="noConversion"/>
  </si>
  <si>
    <t>DO输出控制</t>
    <phoneticPr fontId="2" type="noConversion"/>
  </si>
  <si>
    <t>nCMU 16位操作-内部寄存器:写单个寄存器(06)</t>
    <phoneticPr fontId="2" type="noConversion"/>
  </si>
  <si>
    <t>读写</t>
    <phoneticPr fontId="2" type="noConversion"/>
  </si>
  <si>
    <t>*</t>
    <phoneticPr fontId="2" type="noConversion"/>
  </si>
  <si>
    <t>写配置参数</t>
    <phoneticPr fontId="2" type="noConversion"/>
  </si>
  <si>
    <t>解除写保护</t>
    <phoneticPr fontId="2" type="noConversion"/>
  </si>
  <si>
    <t>1.写入0x1D32，CMU恢复出厂设置；
2.写入0xAA55:BMU重置拨码；
3.写入0x55AA: BMU保存拨码；</t>
    <phoneticPr fontId="2" type="noConversion"/>
  </si>
  <si>
    <t>写入0x1D32，CMU重启。</t>
    <phoneticPr fontId="2" type="noConversion"/>
  </si>
  <si>
    <t>nCMU 16位操作-内部寄存器:写多个寄存器(16)</t>
    <phoneticPr fontId="2" type="noConversion"/>
  </si>
  <si>
    <t>0xFFF1</t>
    <phoneticPr fontId="2" type="noConversion"/>
  </si>
  <si>
    <t>0xFFF2</t>
  </si>
  <si>
    <t>0xFFF3</t>
    <phoneticPr fontId="2" type="noConversion"/>
  </si>
  <si>
    <t>0xFFE0</t>
    <phoneticPr fontId="2" type="noConversion"/>
  </si>
  <si>
    <t>升级</t>
  </si>
  <si>
    <t>详见读内部寄存器(03)</t>
    <phoneticPr fontId="2" type="noConversion"/>
  </si>
  <si>
    <t>详见寄存器读（03）</t>
    <phoneticPr fontId="2" type="noConversion"/>
  </si>
  <si>
    <t>写SOC-V表</t>
    <phoneticPr fontId="2" type="noConversion"/>
  </si>
  <si>
    <t>n*2</t>
    <phoneticPr fontId="2" type="noConversion"/>
  </si>
  <si>
    <t>相关说明:</t>
    <phoneticPr fontId="2" type="noConversion"/>
  </si>
  <si>
    <t>nBC 当前剩余库伦</t>
    <phoneticPr fontId="2" type="noConversion"/>
  </si>
  <si>
    <t>nBC 放电停止时间</t>
    <phoneticPr fontId="2" type="noConversion"/>
  </si>
  <si>
    <t>nBC 放电开始时间</t>
    <phoneticPr fontId="2" type="noConversion"/>
  </si>
  <si>
    <t>nBC 充电停止时间</t>
    <phoneticPr fontId="2" type="noConversion"/>
  </si>
  <si>
    <t>nBC 充电开始时间</t>
    <phoneticPr fontId="2" type="noConversion"/>
  </si>
  <si>
    <t>nBC 累计放电次数</t>
    <phoneticPr fontId="2" type="noConversion"/>
  </si>
  <si>
    <t>Bit0：nBMU33通讯状态，1为在线，0为离线；
…
Bit27：nBMU60通讯状态，1为在线，0为离线；
Bit28-Bit31：保留</t>
    <phoneticPr fontId="2" type="noConversion"/>
  </si>
  <si>
    <t>BMU数量</t>
    <phoneticPr fontId="2" type="noConversion"/>
  </si>
  <si>
    <t>…</t>
    <phoneticPr fontId="2" type="noConversion"/>
  </si>
  <si>
    <t>nBP(m-1) 电压采集线束断线状态</t>
    <phoneticPr fontId="2" type="noConversion"/>
  </si>
  <si>
    <t>nBP(m) 电压采集线束断线状态</t>
    <phoneticPr fontId="2" type="noConversion"/>
  </si>
  <si>
    <t>参数</t>
    <phoneticPr fontId="2" type="noConversion"/>
  </si>
  <si>
    <t>每个BMU的单体电压数量</t>
    <phoneticPr fontId="2" type="noConversion"/>
  </si>
  <si>
    <t>极柱温度个数</t>
    <phoneticPr fontId="2" type="noConversion"/>
  </si>
  <si>
    <t>电池包模组温度个数</t>
    <phoneticPr fontId="2" type="noConversion"/>
  </si>
  <si>
    <t>nBMU电压断线状态------BMU数量:(m)</t>
    <phoneticPr fontId="2" type="noConversion"/>
  </si>
  <si>
    <t>nBP(m-1) 温度采集线束断线状态</t>
    <phoneticPr fontId="2" type="noConversion"/>
  </si>
  <si>
    <t>nBMU温度断线状态------BMU数量:(m)</t>
    <phoneticPr fontId="2" type="noConversion"/>
  </si>
  <si>
    <t>nBMU运行状态------BMU数量:(m)</t>
    <phoneticPr fontId="2" type="noConversion"/>
  </si>
  <si>
    <t>nBP(m-1) BMU运行状态</t>
    <phoneticPr fontId="2" type="noConversion"/>
  </si>
  <si>
    <t>版本信息------BMU数量:(m)</t>
    <phoneticPr fontId="2" type="noConversion"/>
  </si>
  <si>
    <r>
      <t>nBP(m-1) BMU软件版本号</t>
    </r>
    <r>
      <rPr>
        <sz val="11"/>
        <color theme="1"/>
        <rFont val="宋体"/>
        <family val="2"/>
        <scheme val="minor"/>
      </rPr>
      <t/>
    </r>
    <phoneticPr fontId="2" type="noConversion"/>
  </si>
  <si>
    <r>
      <t>nBP(m) BMU软件版本号</t>
    </r>
    <r>
      <rPr>
        <sz val="11"/>
        <color theme="1"/>
        <rFont val="宋体"/>
        <family val="2"/>
        <scheme val="minor"/>
      </rPr>
      <t/>
    </r>
    <phoneticPr fontId="2" type="noConversion"/>
  </si>
  <si>
    <r>
      <t>nBP(m) BMU运行状态</t>
    </r>
    <r>
      <rPr>
        <sz val="11"/>
        <color theme="1"/>
        <rFont val="宋体"/>
        <family val="2"/>
        <scheme val="minor"/>
      </rPr>
      <t/>
    </r>
    <phoneticPr fontId="2" type="noConversion"/>
  </si>
  <si>
    <t>nBP(m) 温度采集线束断线状态</t>
    <phoneticPr fontId="2" type="noConversion"/>
  </si>
  <si>
    <t>nCMU 新事件条数</t>
    <phoneticPr fontId="2" type="noConversion"/>
  </si>
  <si>
    <t>0x2000</t>
    <phoneticPr fontId="2" type="noConversion"/>
  </si>
  <si>
    <t>nCMU 铁电中的事件条数:(m)</t>
    <phoneticPr fontId="2" type="noConversion"/>
  </si>
  <si>
    <t>CMU 新事件条数(从上电/清除事件时刻开始计)</t>
    <phoneticPr fontId="2" type="noConversion"/>
  </si>
  <si>
    <t>铁电中的事件条数:(m)</t>
    <phoneticPr fontId="2" type="noConversion"/>
  </si>
  <si>
    <t>m*16</t>
    <phoneticPr fontId="2" type="noConversion"/>
  </si>
  <si>
    <t>每条事件8个寄存器，单次最大读取15条(240字节)，详见SOE表</t>
    <phoneticPr fontId="2" type="noConversion"/>
  </si>
  <si>
    <t>1秒，默认3S，范围：0-50S</t>
    <phoneticPr fontId="2" type="noConversion"/>
  </si>
  <si>
    <t>1秒，默认1S，范围：0-50S</t>
    <phoneticPr fontId="2" type="noConversion"/>
  </si>
  <si>
    <t>0.1A，默认120A，范围：0-600A</t>
    <phoneticPr fontId="2" type="noConversion"/>
  </si>
  <si>
    <t>1A,默认300A,范围：0-600A</t>
    <phoneticPr fontId="2" type="noConversion"/>
  </si>
  <si>
    <t>读取单体电压------BMU数量:(m);电池包单体个数:(n)</t>
    <phoneticPr fontId="2" type="noConversion"/>
  </si>
  <si>
    <t>BP2 B(n-1)电压</t>
    <phoneticPr fontId="2" type="noConversion"/>
  </si>
  <si>
    <t>BP2 B(n)电压</t>
    <phoneticPr fontId="2" type="noConversion"/>
  </si>
  <si>
    <t>……</t>
    <phoneticPr fontId="2" type="noConversion"/>
  </si>
  <si>
    <t>BP(m-1) B1电压</t>
    <phoneticPr fontId="2" type="noConversion"/>
  </si>
  <si>
    <t>BP(m-1) B2电压</t>
    <phoneticPr fontId="2" type="noConversion"/>
  </si>
  <si>
    <t>BP(m-1) B(n-1)电压</t>
    <phoneticPr fontId="2" type="noConversion"/>
  </si>
  <si>
    <t>BP(m-1) B(n)电压</t>
    <phoneticPr fontId="2" type="noConversion"/>
  </si>
  <si>
    <t>BMU(m-1)</t>
    <phoneticPr fontId="2" type="noConversion"/>
  </si>
  <si>
    <t>BP(m) B1电压</t>
    <phoneticPr fontId="2" type="noConversion"/>
  </si>
  <si>
    <t>BP(m) B2电压</t>
    <phoneticPr fontId="2" type="noConversion"/>
  </si>
  <si>
    <t>BP(m) B(n-1)电压</t>
    <phoneticPr fontId="2" type="noConversion"/>
  </si>
  <si>
    <t>BP(m) B(n)电压</t>
    <phoneticPr fontId="2" type="noConversion"/>
  </si>
  <si>
    <t>BMU(m)</t>
    <phoneticPr fontId="2" type="noConversion"/>
  </si>
  <si>
    <t>读取温度数据------BMU数量:(m);电池包模组温度个数:(n);电池包极柱温度个数:(x)</t>
    <phoneticPr fontId="2" type="noConversion"/>
  </si>
  <si>
    <t>BP1 极柱1温度</t>
    <phoneticPr fontId="2" type="noConversion"/>
  </si>
  <si>
    <t>BP1 极柱(x)温度</t>
    <phoneticPr fontId="2" type="noConversion"/>
  </si>
  <si>
    <t>BP2 (n)#模组温度</t>
    <phoneticPr fontId="2" type="noConversion"/>
  </si>
  <si>
    <t>BP2 极柱(x)温度</t>
    <phoneticPr fontId="2" type="noConversion"/>
  </si>
  <si>
    <t>BP2 极柱1温度</t>
    <phoneticPr fontId="2" type="noConversion"/>
  </si>
  <si>
    <t>BP(m-1) 1#模组温度</t>
    <phoneticPr fontId="2" type="noConversion"/>
  </si>
  <si>
    <t>BP(m-1) 2#模组温度</t>
    <phoneticPr fontId="2" type="noConversion"/>
  </si>
  <si>
    <r>
      <t>BP(m-1) (n)#模组温度</t>
    </r>
    <r>
      <rPr>
        <sz val="11"/>
        <color theme="1"/>
        <rFont val="宋体"/>
        <family val="2"/>
        <scheme val="minor"/>
      </rPr>
      <t/>
    </r>
    <phoneticPr fontId="2" type="noConversion"/>
  </si>
  <si>
    <t>BP(m-1) 极柱(x)温度</t>
    <phoneticPr fontId="2" type="noConversion"/>
  </si>
  <si>
    <t>BP(m-1) 极柱1温度</t>
    <phoneticPr fontId="2" type="noConversion"/>
  </si>
  <si>
    <t>BP(m) 1#模组温度</t>
    <phoneticPr fontId="2" type="noConversion"/>
  </si>
  <si>
    <t>BP(m) 2#模组温度</t>
    <phoneticPr fontId="2" type="noConversion"/>
  </si>
  <si>
    <t>BP(m) (n)#模组温度</t>
    <phoneticPr fontId="2" type="noConversion"/>
  </si>
  <si>
    <t>BP(m) 极柱(x)温度</t>
    <phoneticPr fontId="2" type="noConversion"/>
  </si>
  <si>
    <t>BP(m) 极柱1温度</t>
    <phoneticPr fontId="2" type="noConversion"/>
  </si>
  <si>
    <t>清除事件命令</t>
    <phoneticPr fontId="2" type="noConversion"/>
  </si>
  <si>
    <t>0xFFF8</t>
    <phoneticPr fontId="2" type="noConversion"/>
  </si>
  <si>
    <t>0xAA55:清除新事件个数；0xBB66:清所有事件</t>
    <phoneticPr fontId="2" type="noConversion"/>
  </si>
  <si>
    <t>清除事件个数</t>
    <phoneticPr fontId="2" type="noConversion"/>
  </si>
  <si>
    <t>命令为0xAA55时,输入要清除新事件的个数；0xBB66时缺省</t>
    <phoneticPr fontId="2" type="noConversion"/>
  </si>
  <si>
    <t>0xFFF9</t>
  </si>
  <si>
    <t>事件记录结构体(16字节)</t>
    <phoneticPr fontId="2" type="noConversion"/>
  </si>
  <si>
    <t>uint16_t u16time_ms; //系统毫秒ms</t>
    <phoneticPr fontId="2" type="noConversion"/>
  </si>
  <si>
    <t>uint32_t u32time_s;  //发生时间s</t>
    <phoneticPr fontId="2" type="noConversion"/>
  </si>
  <si>
    <t>uint16_t u16State;   //系统状态</t>
    <phoneticPr fontId="2" type="noConversion"/>
  </si>
  <si>
    <t>uint16_t u16Type;    //事件类型</t>
    <phoneticPr fontId="2" type="noConversion"/>
  </si>
  <si>
    <t>uint16_t u16Id;      //发生事件ID</t>
    <phoneticPr fontId="2" type="noConversion"/>
  </si>
  <si>
    <t>EvtData_Typedef Val; //数值(16bits)</t>
    <phoneticPr fontId="2" type="noConversion"/>
  </si>
  <si>
    <t>EvtData_Typedef Limit;//发生时门限值</t>
    <phoneticPr fontId="2" type="noConversion"/>
  </si>
  <si>
    <t>功能码</t>
    <phoneticPr fontId="2" type="noConversion"/>
  </si>
  <si>
    <t>0x03</t>
  </si>
  <si>
    <t>0x03</t>
    <phoneticPr fontId="2" type="noConversion"/>
  </si>
  <si>
    <t>0x05</t>
    <phoneticPr fontId="2" type="noConversion"/>
  </si>
  <si>
    <t>正接触器远程控制命令</t>
    <phoneticPr fontId="2" type="noConversion"/>
  </si>
  <si>
    <t>负接触器远程控制命令</t>
    <phoneticPr fontId="2" type="noConversion"/>
  </si>
  <si>
    <t>风扇远程控制命令</t>
    <phoneticPr fontId="2" type="noConversion"/>
  </si>
  <si>
    <t>写入0x1EC6，累计量清零，包括累计充放电量、充放电时间、充放电次数</t>
    <phoneticPr fontId="2" type="noConversion"/>
  </si>
  <si>
    <t>写入0x67A5，解除保护 有效时间2秒，每次写入都需要解除保护</t>
    <phoneticPr fontId="2" type="noConversion"/>
  </si>
  <si>
    <t>最小电压、门限电压(uint16)</t>
    <phoneticPr fontId="2" type="noConversion"/>
  </si>
  <si>
    <t>最大电压、门限电压(uint16)</t>
    <phoneticPr fontId="2" type="noConversion"/>
  </si>
  <si>
    <t>电压断线状态字(uint16)</t>
    <phoneticPr fontId="2" type="noConversion"/>
  </si>
  <si>
    <t>断线BMU ID号</t>
    <phoneticPr fontId="2" type="noConversion"/>
  </si>
  <si>
    <t>最大温度、门限温度(int16)</t>
    <phoneticPr fontId="2" type="noConversion"/>
  </si>
  <si>
    <t>最小温度、门限温度(int16)</t>
    <phoneticPr fontId="2" type="noConversion"/>
  </si>
  <si>
    <t>温度断线状态字(uint16)</t>
    <phoneticPr fontId="2" type="noConversion"/>
  </si>
  <si>
    <t>最大极柱温度、门限温度(int16)</t>
    <phoneticPr fontId="2" type="noConversion"/>
  </si>
  <si>
    <t>电流值、电流门限值(int16)</t>
    <phoneticPr fontId="2" type="noConversion"/>
  </si>
  <si>
    <t>簇电压、簇电压门限值(uint16)</t>
    <phoneticPr fontId="2" type="noConversion"/>
  </si>
  <si>
    <t>绝缘电阻、绝缘电阻门限值(uint16)</t>
    <phoneticPr fontId="2" type="noConversion"/>
  </si>
  <si>
    <t>漏电流、漏电流门限值(int16)</t>
    <phoneticPr fontId="2" type="noConversion"/>
  </si>
  <si>
    <t>0.1mA</t>
    <phoneticPr fontId="2" type="noConversion"/>
  </si>
  <si>
    <t>簇电流值(int16)</t>
    <phoneticPr fontId="2" type="noConversion"/>
  </si>
  <si>
    <t>QF控制继电器状态</t>
    <phoneticPr fontId="2" type="noConversion"/>
  </si>
  <si>
    <t>KM+控制继电器状态</t>
    <phoneticPr fontId="2" type="noConversion"/>
  </si>
  <si>
    <t>KM-控制继电器状态</t>
    <phoneticPr fontId="2" type="noConversion"/>
  </si>
  <si>
    <t>风机继电器状态</t>
    <phoneticPr fontId="2" type="noConversion"/>
  </si>
  <si>
    <t>最大电池温度、环控温度门限(int6)</t>
    <phoneticPr fontId="2" type="noConversion"/>
  </si>
  <si>
    <t>0xAA55:合正接触器(CMU功能使能位Bit9需为0才有效);
0x55AA:分正接触器(CMU功能使能位Bit9需为0才有效).</t>
    <phoneticPr fontId="2" type="noConversion"/>
  </si>
  <si>
    <t>0xAA55:合负接触器(CMU功能使能位Bit9需为0才有效);
0x55AA:分负接触器(CMU功能使能位Bit9需为0才有效).</t>
    <phoneticPr fontId="2" type="noConversion"/>
  </si>
  <si>
    <t>0xAA55:风扇开启(CMU功能使能位Bit8需为0才有效);
0x55AA:风扇关闭(CMU功能使能位Bit8需为0才有效).</t>
    <phoneticPr fontId="2" type="noConversion"/>
  </si>
  <si>
    <t>nBC保护状态位1</t>
    <phoneticPr fontId="2" type="noConversion"/>
  </si>
  <si>
    <t>nBC保护状态位2</t>
    <phoneticPr fontId="2" type="noConversion"/>
  </si>
  <si>
    <t>nBC报警状态位1</t>
    <phoneticPr fontId="2" type="noConversion"/>
  </si>
  <si>
    <t>nBC报警状态位2</t>
    <phoneticPr fontId="2" type="noConversion"/>
  </si>
  <si>
    <t>nBP1 BMU故障状态</t>
    <phoneticPr fontId="2" type="noConversion"/>
  </si>
  <si>
    <t>nBP2 BMU故障状态</t>
    <phoneticPr fontId="2" type="noConversion"/>
  </si>
  <si>
    <t>nBP(m-1) BMU故障状态</t>
    <phoneticPr fontId="2" type="noConversion"/>
  </si>
  <si>
    <r>
      <t>nBP(m) BMU故障状态</t>
    </r>
    <r>
      <rPr>
        <sz val="11"/>
        <color theme="1"/>
        <rFont val="宋体"/>
        <family val="2"/>
        <scheme val="minor"/>
      </rPr>
      <t/>
    </r>
    <phoneticPr fontId="2" type="noConversion"/>
  </si>
  <si>
    <t>Bit0-Bit6：保留；
Bit7：采样芯片故障2，0：正常，1：故障；
Bit8：采样芯片故障1，0：正常，1：故障；
Bit9-Bit12：保留；
Bit13：断线故障，0：正常，1：故障；
Bit14：单体过压，0：正常，1：故障；
Bit15：单体欠压，0：正常，1：故障；</t>
    <phoneticPr fontId="2" type="noConversion"/>
  </si>
  <si>
    <t>nBC DO状态</t>
    <phoneticPr fontId="2" type="noConversion"/>
  </si>
  <si>
    <t>nBC DI状态</t>
    <phoneticPr fontId="2" type="noConversion"/>
  </si>
  <si>
    <t>nBC 簇极柱温度断线状态</t>
    <phoneticPr fontId="2" type="noConversion"/>
  </si>
  <si>
    <r>
      <t>1V，默认1000V，范围100</t>
    </r>
    <r>
      <rPr>
        <sz val="10"/>
        <color theme="1"/>
        <rFont val="Times New Roman"/>
        <family val="1"/>
      </rPr>
      <t>~</t>
    </r>
    <r>
      <rPr>
        <sz val="10"/>
        <color theme="1"/>
        <rFont val="宋体"/>
        <family val="3"/>
        <charset val="134"/>
        <scheme val="minor"/>
      </rPr>
      <t>3000V</t>
    </r>
    <phoneticPr fontId="2" type="noConversion"/>
  </si>
  <si>
    <r>
      <t>0.1K</t>
    </r>
    <r>
      <rPr>
        <sz val="10"/>
        <color theme="1"/>
        <rFont val="Times New Roman"/>
        <family val="1"/>
      </rPr>
      <t>Ω</t>
    </r>
    <phoneticPr fontId="2" type="noConversion"/>
  </si>
  <si>
    <t>Bit0：nBP1 1#簇极柱温度采集线束断线，0正常，1断线；
Bit1：nBP1 2#簇极柱温度采集线束断线，0正常，1断线；
Bit2：nBP1 3#簇极柱温度采集线束断线，0正常，1断线；
Bit3：nBP1 4#簇极柱温度采集线束断线，0正常，1断线；
Bit4：nBP1 5#簇极柱温度采集线束断线，0正常，1断线；
其它：预留</t>
    <phoneticPr fontId="2" type="noConversion"/>
  </si>
  <si>
    <t>Bit0：nBP1 B1+电压采集线束断线，0正常，1断线；
Bit1：nBP1 B2+电压采集线束断线，0正常，1断线；
Bit2：nBP1 B3+电压采集线束断线，0正常，1断线；
Bit3：nBP1 B4+电压采集线束断线，0正常，1断线；
Bit4：nBP1 B5+电压采集线束断线，0正常，1断线；
Bit5：nBP1 B6+电压采集线束断线，0正常，1断线；
Bit6：nBP1 B7+电压采集线束断线，0正常，1断线；
Bit7：nBP1 B8+电压采集线束断线，0正常，1断线；
Bit8：nBP1 B9+电压采集线束断线，0正常，1断线；
Bit9：nBP1 B10+电压采集线束断线，0正常，1断线；
Bit10：nBP1 B11+电压采集线束断线，0正常，1断线；
Bit11：nBP1 B12+电压采集线束断线，0正常，1断线；
Bit12：nBP1 B13+电压采集线束断线，0正常，1断线(预留)；
Bit13：nBP1 B14+电压采集线束断线，0正常，1断线(预留)；
Bit14：nBP1 B15+电压采集线束断线，0正常，1断线(预留)；
Bit15：nBP1 B16+电压采集线束断线，0正常，1断线(预留)；</t>
    <phoneticPr fontId="2" type="noConversion"/>
  </si>
  <si>
    <t>Bit0：nBP1 1#模组温度采集线束断线，0正常，1断线；
Bit1：nBP1 2#模组温度采集线束断线，0正常，1断线；
Bit2：nBP1 3#模组温度采集线束断线，0正常，1断线；
Bit3：nBP1 4#模组温度采集线束断线，0正常，1断线；
Bit4：nBP1 正极柱温度采集线束断线，0正常，1断线；
Bit5：nBP1 负极柱温度采集线束断线，0正常，1断线；
其它位预留</t>
    <phoneticPr fontId="2" type="noConversion"/>
  </si>
  <si>
    <t>0x100</t>
    <phoneticPr fontId="2" type="noConversion"/>
  </si>
  <si>
    <t>nBP1 BMU运行状态</t>
    <phoneticPr fontId="2" type="noConversion"/>
  </si>
  <si>
    <t>nBP1 BMU软件版本号</t>
    <phoneticPr fontId="2" type="noConversion"/>
  </si>
  <si>
    <r>
      <t>nBP2 BMU软件版本号</t>
    </r>
    <r>
      <rPr>
        <sz val="11"/>
        <color theme="1"/>
        <rFont val="宋体"/>
        <family val="2"/>
        <scheme val="minor"/>
      </rPr>
      <t/>
    </r>
  </si>
  <si>
    <t>0x900</t>
    <phoneticPr fontId="2" type="noConversion"/>
  </si>
  <si>
    <t>0x04</t>
    <phoneticPr fontId="2" type="noConversion"/>
  </si>
  <si>
    <t>BP1 B(n-1)电压</t>
    <phoneticPr fontId="2" type="noConversion"/>
  </si>
  <si>
    <t>BP1 B(n)电压</t>
    <phoneticPr fontId="2" type="noConversion"/>
  </si>
  <si>
    <t>BMU2</t>
    <phoneticPr fontId="2" type="noConversion"/>
  </si>
  <si>
    <r>
      <t>BMU2</t>
    </r>
    <r>
      <rPr>
        <sz val="11"/>
        <color theme="1"/>
        <rFont val="宋体"/>
        <family val="2"/>
        <scheme val="minor"/>
      </rPr>
      <t/>
    </r>
  </si>
  <si>
    <t>BP1 (n)#模组温度</t>
    <phoneticPr fontId="2" type="noConversion"/>
  </si>
  <si>
    <t>DO1</t>
    <phoneticPr fontId="2" type="noConversion"/>
  </si>
  <si>
    <r>
      <t>DO2</t>
    </r>
    <r>
      <rPr>
        <sz val="11"/>
        <color theme="1"/>
        <rFont val="宋体"/>
        <family val="2"/>
        <scheme val="minor"/>
      </rPr>
      <t/>
    </r>
  </si>
  <si>
    <r>
      <t>DO3</t>
    </r>
    <r>
      <rPr>
        <sz val="11"/>
        <color theme="1"/>
        <rFont val="宋体"/>
        <family val="2"/>
        <scheme val="minor"/>
      </rPr>
      <t/>
    </r>
  </si>
  <si>
    <r>
      <t>DO4</t>
    </r>
    <r>
      <rPr>
        <sz val="11"/>
        <color theme="1"/>
        <rFont val="宋体"/>
        <family val="2"/>
        <scheme val="minor"/>
      </rPr>
      <t/>
    </r>
  </si>
  <si>
    <r>
      <t>DO5</t>
    </r>
    <r>
      <rPr>
        <sz val="11"/>
        <color theme="1"/>
        <rFont val="宋体"/>
        <family val="2"/>
        <scheme val="minor"/>
      </rPr>
      <t/>
    </r>
  </si>
  <si>
    <r>
      <t>DO6</t>
    </r>
    <r>
      <rPr>
        <sz val="11"/>
        <color theme="1"/>
        <rFont val="宋体"/>
        <family val="2"/>
        <scheme val="minor"/>
      </rPr>
      <t/>
    </r>
  </si>
  <si>
    <r>
      <t>DO7</t>
    </r>
    <r>
      <rPr>
        <sz val="11"/>
        <color theme="1"/>
        <rFont val="宋体"/>
        <family val="2"/>
        <scheme val="minor"/>
      </rPr>
      <t/>
    </r>
  </si>
  <si>
    <r>
      <t>DO8</t>
    </r>
    <r>
      <rPr>
        <sz val="11"/>
        <color theme="1"/>
        <rFont val="宋体"/>
        <family val="2"/>
        <scheme val="minor"/>
      </rPr>
      <t/>
    </r>
  </si>
  <si>
    <r>
      <t>DO9</t>
    </r>
    <r>
      <rPr>
        <sz val="11"/>
        <color theme="1"/>
        <rFont val="宋体"/>
        <family val="2"/>
        <scheme val="minor"/>
      </rPr>
      <t/>
    </r>
  </si>
  <si>
    <r>
      <t>DO10</t>
    </r>
    <r>
      <rPr>
        <sz val="11"/>
        <color theme="1"/>
        <rFont val="宋体"/>
        <family val="2"/>
        <scheme val="minor"/>
      </rPr>
      <t/>
    </r>
  </si>
  <si>
    <r>
      <t>DO11</t>
    </r>
    <r>
      <rPr>
        <sz val="11"/>
        <color theme="1"/>
        <rFont val="宋体"/>
        <family val="2"/>
        <scheme val="minor"/>
      </rPr>
      <t/>
    </r>
  </si>
  <si>
    <t>0xFFF0</t>
    <phoneticPr fontId="2" type="noConversion"/>
  </si>
  <si>
    <t>0x10</t>
    <phoneticPr fontId="2" type="noConversion"/>
  </si>
  <si>
    <t>0xFFC0</t>
    <phoneticPr fontId="2" type="noConversion"/>
  </si>
  <si>
    <t>0xFFD0</t>
    <phoneticPr fontId="2" type="noConversion"/>
  </si>
  <si>
    <t>nCMU Boot软件版本号</t>
    <phoneticPr fontId="2" type="noConversion"/>
  </si>
  <si>
    <t>nINS 绝缘检测板软件版本号</t>
    <phoneticPr fontId="2" type="noConversion"/>
  </si>
  <si>
    <t>nBC 单体电池电压越下下限保护值</t>
    <phoneticPr fontId="2" type="noConversion"/>
  </si>
  <si>
    <t xml:space="preserve">默认 192.168 0xa8c0  </t>
    <phoneticPr fontId="2" type="noConversion"/>
  </si>
  <si>
    <t xml:space="preserve">默认 1.120 0x7801  </t>
    <phoneticPr fontId="2" type="noConversion"/>
  </si>
  <si>
    <t xml:space="preserve">默认 192.168 0xA8C0  </t>
    <phoneticPr fontId="2" type="noConversion"/>
  </si>
  <si>
    <t>默认 1.230 0xE601</t>
    <phoneticPr fontId="2" type="noConversion"/>
  </si>
  <si>
    <t>nBC 簇电池漏电流告警值</t>
    <phoneticPr fontId="2" type="noConversion"/>
  </si>
  <si>
    <t>nBC 簇电池绝缘电阻告警值</t>
    <phoneticPr fontId="2" type="noConversion"/>
  </si>
  <si>
    <t>nBC Pack极柱温度越上限告警值</t>
    <phoneticPr fontId="2" type="noConversion"/>
  </si>
  <si>
    <t>nBC 簇极柱温度越上限告警值</t>
    <phoneticPr fontId="2" type="noConversion"/>
  </si>
  <si>
    <t>nBC 簇极柱温度越上上限保护值</t>
    <phoneticPr fontId="2" type="noConversion"/>
  </si>
  <si>
    <t>nBC 环控温度回差值</t>
    <phoneticPr fontId="2" type="noConversion"/>
  </si>
  <si>
    <t>nBC 环控温度上限值</t>
    <phoneticPr fontId="2" type="noConversion"/>
  </si>
  <si>
    <t>nBC 环控温度下限值</t>
    <phoneticPr fontId="2" type="noConversion"/>
  </si>
  <si>
    <t>nBC 簇电池过放(SOC)下下限保护值</t>
    <phoneticPr fontId="2" type="noConversion"/>
  </si>
  <si>
    <t>nBC 簇电池过放(SOC)下限告警值</t>
    <phoneticPr fontId="2" type="noConversion"/>
  </si>
  <si>
    <t>nBC 簇电池放空回差值</t>
    <phoneticPr fontId="2" type="noConversion"/>
  </si>
  <si>
    <t>nBC 簇电池充满回差值</t>
    <phoneticPr fontId="2" type="noConversion"/>
  </si>
  <si>
    <t>nBC 簇电池额定Ah数</t>
    <phoneticPr fontId="2" type="noConversion"/>
  </si>
  <si>
    <t>0.1Ah，默认120Ah，范围：0-600Ah</t>
    <phoneticPr fontId="2" type="noConversion"/>
  </si>
  <si>
    <t>0.1℃，默认5℃，范围：0-10℃</t>
    <phoneticPr fontId="2" type="noConversion"/>
  </si>
  <si>
    <t>0.1℃，默认35℃，范围：25-50℃</t>
    <phoneticPr fontId="2" type="noConversion"/>
  </si>
  <si>
    <t>0.1℃，默认10℃，范围：0-25℃</t>
    <phoneticPr fontId="2" type="noConversion"/>
  </si>
  <si>
    <t>0.1%，默认10%，范围：5%-20%</t>
    <phoneticPr fontId="2" type="noConversion"/>
  </si>
  <si>
    <t>0.1%，默认2%，范围：0%-10%</t>
    <phoneticPr fontId="2" type="noConversion"/>
  </si>
  <si>
    <t>1K，默认50K，范围20-100KΩ</t>
    <phoneticPr fontId="2" type="noConversion"/>
  </si>
  <si>
    <t>1K，默认20K，范围0-50KΩ</t>
    <phoneticPr fontId="2" type="noConversion"/>
  </si>
  <si>
    <t>0.1mA，默认5mA，范围0-20mA</t>
    <phoneticPr fontId="2" type="noConversion"/>
  </si>
  <si>
    <t>0.1mA，默认10mA，范围0-50mA</t>
    <phoneticPr fontId="2" type="noConversion"/>
  </si>
  <si>
    <t>nCMU(内部使用)</t>
    <phoneticPr fontId="2" type="noConversion"/>
  </si>
  <si>
    <t>0x14F5</t>
    <phoneticPr fontId="2" type="noConversion"/>
  </si>
  <si>
    <t>0.1A，默认5A，范围：1-20A</t>
    <phoneticPr fontId="2" type="noConversion"/>
  </si>
  <si>
    <t>nBC 预留外部传感器采样值</t>
    <phoneticPr fontId="2" type="noConversion"/>
  </si>
  <si>
    <t>nBC 簇温度采样值1</t>
    <phoneticPr fontId="2" type="noConversion"/>
  </si>
  <si>
    <t>nBC 簇温度采样值2</t>
    <phoneticPr fontId="2" type="noConversion"/>
  </si>
  <si>
    <t>nBC 簇温度采样值3</t>
  </si>
  <si>
    <t>nBC 簇温度采样值4</t>
  </si>
  <si>
    <t>nBC 簇温度采样值5</t>
  </si>
  <si>
    <t>0x04</t>
  </si>
  <si>
    <t>DO12</t>
  </si>
  <si>
    <t>DO13</t>
  </si>
  <si>
    <t>DO14</t>
  </si>
  <si>
    <t>DO15</t>
  </si>
  <si>
    <t>DO16</t>
  </si>
  <si>
    <t>0x05</t>
  </si>
  <si>
    <t>QF直流断路器控制继电器</t>
    <phoneticPr fontId="2" type="noConversion"/>
  </si>
  <si>
    <t>KM+正直流接触器控制继电器</t>
    <phoneticPr fontId="2" type="noConversion"/>
  </si>
  <si>
    <t>KM-负直流接触器控制继电器</t>
    <phoneticPr fontId="2" type="noConversion"/>
  </si>
  <si>
    <t>KMR电阻投切接触器控制继电器</t>
    <phoneticPr fontId="2" type="noConversion"/>
  </si>
  <si>
    <t>CMU告警继电器输出</t>
    <phoneticPr fontId="2" type="noConversion"/>
  </si>
  <si>
    <t>充电指示继电器输出</t>
    <phoneticPr fontId="2" type="noConversion"/>
  </si>
  <si>
    <t>放电指示继电器输出</t>
    <phoneticPr fontId="2" type="noConversion"/>
  </si>
  <si>
    <t>系统运行指示继电器输出</t>
    <phoneticPr fontId="2" type="noConversion"/>
  </si>
  <si>
    <t>NMOS供电输出(预留)</t>
    <phoneticPr fontId="2" type="noConversion"/>
  </si>
  <si>
    <t>簇电池告警继电器输出</t>
    <phoneticPr fontId="2" type="noConversion"/>
  </si>
  <si>
    <t>风扇控制继电器输出</t>
    <phoneticPr fontId="2" type="noConversion"/>
  </si>
  <si>
    <t>预留继电器1输出</t>
    <phoneticPr fontId="2" type="noConversion"/>
  </si>
  <si>
    <t>预留继电器2输出</t>
    <phoneticPr fontId="2" type="noConversion"/>
  </si>
  <si>
    <t>预留继电器3输出</t>
    <phoneticPr fontId="2" type="noConversion"/>
  </si>
  <si>
    <t>预留继电器4输出</t>
    <phoneticPr fontId="2" type="noConversion"/>
  </si>
  <si>
    <t>预留继电器5输出</t>
    <phoneticPr fontId="2" type="noConversion"/>
  </si>
  <si>
    <t>CMU-V2与网关通讯数据点表</t>
    <phoneticPr fontId="2" type="noConversion"/>
  </si>
  <si>
    <t>KMR接触器远程控制命令</t>
    <phoneticPr fontId="2" type="noConversion"/>
  </si>
  <si>
    <t>0x06</t>
    <phoneticPr fontId="2" type="noConversion"/>
  </si>
  <si>
    <t>0xAA55:合KMR接触器(CMU功能使能位Bit9需为0才有效);
0x55AA:分KMR接触器(CMU功能使能位Bit9需为0才有效).</t>
    <phoneticPr fontId="2" type="noConversion"/>
  </si>
  <si>
    <t>QF远程控制命令</t>
    <phoneticPr fontId="2" type="noConversion"/>
  </si>
  <si>
    <t>0x55AA:分QF断路器(CMU功能使能位Bit9需为0才有效).</t>
    <phoneticPr fontId="2" type="noConversion"/>
  </si>
  <si>
    <t>0x14F0</t>
    <phoneticPr fontId="2" type="noConversion"/>
  </si>
  <si>
    <t>nBC 簇电池充放电状态检测电流死区阈值</t>
    <phoneticPr fontId="2" type="noConversion"/>
  </si>
  <si>
    <t>nBC 预留传感器量程</t>
    <phoneticPr fontId="2" type="noConversion"/>
  </si>
  <si>
    <t>0.1℃，默认50℃，范围：25-55℃</t>
    <phoneticPr fontId="2" type="noConversion"/>
  </si>
  <si>
    <t>0.1℃，默认60℃，范围：55-75℃</t>
    <phoneticPr fontId="2" type="noConversion"/>
  </si>
  <si>
    <t>nBC 预充结束时间定值</t>
    <phoneticPr fontId="2" type="noConversion"/>
  </si>
  <si>
    <t>nBC 预充结束电流定值</t>
    <phoneticPr fontId="2" type="noConversion"/>
  </si>
  <si>
    <t>0.1A，默认10A，范围1-50A</t>
    <phoneticPr fontId="2" type="noConversion"/>
  </si>
  <si>
    <t>0x14EE</t>
    <phoneticPr fontId="2" type="noConversion"/>
  </si>
  <si>
    <t>1s，默认60s，范围1-300s</t>
    <phoneticPr fontId="2" type="noConversion"/>
  </si>
  <si>
    <t>合闸综合命令</t>
    <phoneticPr fontId="2" type="noConversion"/>
  </si>
  <si>
    <t>0x06/0x03</t>
    <phoneticPr fontId="2" type="noConversion"/>
  </si>
  <si>
    <t>0x06</t>
  </si>
  <si>
    <t>0x2000</t>
    <phoneticPr fontId="2" type="noConversion"/>
  </si>
  <si>
    <t>0xAA55:按顺序合接触器(CMU功能使能位Bit9需为0才有效);
0x55AA:按顺序分接触器(CMU功能使能位Bit9需为0才有效).</t>
    <phoneticPr fontId="2" type="noConversion"/>
  </si>
  <si>
    <t>0x10/0x03</t>
    <phoneticPr fontId="2" type="noConversion"/>
  </si>
  <si>
    <t>0xFF00</t>
    <phoneticPr fontId="2" type="noConversion"/>
  </si>
  <si>
    <t>0xFF01</t>
    <phoneticPr fontId="2" type="noConversion"/>
  </si>
  <si>
    <t>0xFF02</t>
    <phoneticPr fontId="2" type="noConversion"/>
  </si>
  <si>
    <t>0xFF03</t>
    <phoneticPr fontId="2" type="noConversion"/>
  </si>
  <si>
    <t>0xFF04</t>
    <phoneticPr fontId="2" type="noConversion"/>
  </si>
  <si>
    <t>0xFF05</t>
    <phoneticPr fontId="2" type="noConversion"/>
  </si>
  <si>
    <t>远程电操控制命令</t>
    <phoneticPr fontId="2" type="noConversion"/>
  </si>
  <si>
    <t>0xFF06</t>
    <phoneticPr fontId="2" type="noConversion"/>
  </si>
  <si>
    <t>共9个寄存器，其中前8个寄存器为升级密钥；最后一个寄存器为升级代码：
0x0011：电流采样低点校准
0x0022：电压采样低点校准
0x0033：漏电流低点校准
0x0044：预留传感器低点校准
0xBB11：电流采样基点校准
0xBB22：电压采样基点校准
0xBB33：漏电流基点校准
0xBB44：预留传感器基点校准
0xAA11：电流采样高点校准
0xAA22：电压采样高点校准
0xAA33：漏电流高点校准
0xAA44：预留传感器高点校准</t>
    <phoneticPr fontId="2" type="noConversion"/>
  </si>
  <si>
    <t>nBC 最大簇极柱温度编号</t>
    <phoneticPr fontId="2" type="noConversion"/>
  </si>
  <si>
    <t>nBC 簇极柱温度最大值</t>
    <phoneticPr fontId="2" type="noConversion"/>
  </si>
  <si>
    <t>0x14FE</t>
    <phoneticPr fontId="2" type="noConversion"/>
  </si>
  <si>
    <t>EVT_CPoT_ERR,        //簇极柱高温保护</t>
    <phoneticPr fontId="2" type="noConversion"/>
  </si>
  <si>
    <t>EVT_CPoT_ALM,        //簇极柱高温告警</t>
    <phoneticPr fontId="2" type="noConversion"/>
  </si>
  <si>
    <t>EVT_CPoT_WIRE,       //簇极柱断线告警</t>
    <phoneticPr fontId="2" type="noConversion"/>
  </si>
  <si>
    <t>EVT_DI_SMOKE = 128,  //烟感动作</t>
    <phoneticPr fontId="2" type="noConversion"/>
  </si>
  <si>
    <t>EVT_DI_WATER,        //水浸动作</t>
    <phoneticPr fontId="2" type="noConversion"/>
  </si>
  <si>
    <t>EVT_DI_FIRE,         //消防动作</t>
    <phoneticPr fontId="2" type="noConversion"/>
  </si>
  <si>
    <t>EVT_DI_STOP,         //急停动作</t>
    <phoneticPr fontId="2" type="noConversion"/>
  </si>
  <si>
    <t>0.1℃</t>
    <phoneticPr fontId="2" type="noConversion"/>
  </si>
  <si>
    <t>…</t>
    <phoneticPr fontId="2" type="noConversion"/>
  </si>
  <si>
    <t>DI输入状态</t>
    <phoneticPr fontId="2" type="noConversion"/>
  </si>
  <si>
    <t>nCMU Modbus协议版本号</t>
    <phoneticPr fontId="2" type="noConversion"/>
  </si>
  <si>
    <t>nCMU App软件版本号</t>
    <phoneticPr fontId="2" type="noConversion"/>
  </si>
  <si>
    <t>0x4FA</t>
    <phoneticPr fontId="2" type="noConversion"/>
  </si>
  <si>
    <r>
      <t xml:space="preserve">共9个寄存器，其中前8个寄存器为升级密钥；最后一个寄存器为升级代码：
0x5A78=升级CMU，TFTP下载升级CMU应用程序
0x5A33=升级BMU，TFTP下载升级BMU应用程序
0xA566=升级BMU-BOOT，下载升级BMU-BOOT程序
0x5A6A=升级CMU-BOOT，下载升级CMU_BOOT程序
</t>
    </r>
    <r>
      <rPr>
        <sz val="10"/>
        <rFont val="宋体"/>
        <family val="3"/>
        <charset val="134"/>
        <scheme val="minor"/>
      </rPr>
      <t>0xA5B6=下载并升级绝缘检测板应用程序</t>
    </r>
    <phoneticPr fontId="2" type="noConversion"/>
  </si>
  <si>
    <t>0xAA55:电操合闸(CMU功能使能位Bit9需为0才有效);
0x55AA:电操分闸(CMU功能使能位Bit9需为0才有效).</t>
    <phoneticPr fontId="2" type="noConversion"/>
  </si>
  <si>
    <t>0x03</t>
    <phoneticPr fontId="2" type="noConversion"/>
  </si>
  <si>
    <t>nBP数据屏蔽位1</t>
    <phoneticPr fontId="2" type="noConversion"/>
  </si>
  <si>
    <t>nBP数据屏蔽位2</t>
  </si>
  <si>
    <t>nBP数据屏蔽位3</t>
  </si>
  <si>
    <t>nBP数据屏蔽位4</t>
  </si>
  <si>
    <t>同上</t>
    <phoneticPr fontId="2" type="noConversion"/>
  </si>
  <si>
    <t>默认0x0000，屏蔽某个BMU的所有数据，0：不屏蔽，1：屏蔽
Bit0：屏蔽nBP0所有数据；
…
Bit15：屏蔽nBP15所有数据；</t>
    <phoneticPr fontId="2" type="noConversion"/>
  </si>
  <si>
    <t>Bit0：屏蔽nBP16所有数据；
…
Bit15：屏蔽nBP32所有数据；</t>
    <phoneticPr fontId="2" type="noConversion"/>
  </si>
  <si>
    <t>系统告警屏蔽寄存器1</t>
    <phoneticPr fontId="2" type="noConversion"/>
  </si>
  <si>
    <t>系统保护屏蔽寄存器1</t>
    <phoneticPr fontId="2" type="noConversion"/>
  </si>
  <si>
    <t>nBC报警屏蔽位</t>
    <phoneticPr fontId="2" type="noConversion"/>
  </si>
  <si>
    <t>nBC故障屏蔽位</t>
    <phoneticPr fontId="2" type="noConversion"/>
  </si>
  <si>
    <t>默认0x0000,屏蔽系统保护状态位相应的保护，0：不屏蔽，1：屏蔽
详见nBC保护状态位1</t>
    <phoneticPr fontId="2" type="noConversion"/>
  </si>
  <si>
    <t>默认0x0000,屏蔽系统保护状态位相应的保护，0：不屏蔽，1：屏蔽
详见nBC保护状态位2</t>
    <phoneticPr fontId="2" type="noConversion"/>
  </si>
  <si>
    <t>CMU功能使能位1</t>
    <phoneticPr fontId="2" type="noConversion"/>
  </si>
  <si>
    <t>CMU功能使能位2</t>
    <phoneticPr fontId="2" type="noConversion"/>
  </si>
  <si>
    <t>系统告警屏蔽寄存器2</t>
    <phoneticPr fontId="2" type="noConversion"/>
  </si>
  <si>
    <t>系统保护屏蔽寄存器2</t>
    <phoneticPr fontId="2" type="noConversion"/>
  </si>
  <si>
    <t>默认0x0000,屏蔽系统告警状态位相应的告警，0：不屏蔽，1：屏蔽
详见nBC告警状态位1</t>
    <phoneticPr fontId="2" type="noConversion"/>
  </si>
  <si>
    <t>默认0x0000,屏蔽系统告警状态位相应的告警，0：不屏蔽，1：屏蔽
详见nBC告警状态位2</t>
    <phoneticPr fontId="2" type="noConversion"/>
  </si>
  <si>
    <t>系统允许操作QF、KM命令</t>
  </si>
  <si>
    <t>0xA5B6:系统允许对QF、KM进行合闸/分闸操作;其他值则不允许</t>
  </si>
  <si>
    <t>nCMU</t>
  </si>
  <si>
    <t>0xFFF4</t>
    <phoneticPr fontId="2" type="noConversion"/>
  </si>
  <si>
    <t>绝缘检测板参数校准</t>
    <phoneticPr fontId="2" type="noConversion"/>
  </si>
  <si>
    <t>0xF000</t>
    <phoneticPr fontId="2" type="noConversion"/>
  </si>
  <si>
    <t>共2个寄存器,其中第一个为命令,第二个为校准值
命令0xCC11,母线总电压校准
命令0xCC22,正母线绝缘电阻校准
命令0xCC33,负母线绝缘电阻校准</t>
    <phoneticPr fontId="2" type="noConversion"/>
  </si>
  <si>
    <t>0.1mV，默认30mV，范围：5-500mV</t>
    <phoneticPr fontId="2" type="noConversion"/>
  </si>
  <si>
    <t>Bit0：烟感保护，1为动作，0为复归；
Bit1：水浸保护，1为动作，0为复归；
Bit2：消防保护，1为动作，0为复归；
Bit3：急停保护，1为动作，0为复归；
Bit4-Bit15: 保留</t>
    <phoneticPr fontId="2" type="noConversion"/>
  </si>
  <si>
    <t>故障的BMU ID</t>
    <phoneticPr fontId="2" type="noConversion"/>
  </si>
  <si>
    <t>复归的BMU ID</t>
    <phoneticPr fontId="2" type="noConversion"/>
  </si>
  <si>
    <t>0x04</t>
    <phoneticPr fontId="2" type="noConversion"/>
  </si>
  <si>
    <t>nBC 预留簇电流值</t>
    <phoneticPr fontId="2" type="noConversion"/>
  </si>
  <si>
    <t>有符号整数</t>
    <phoneticPr fontId="2" type="noConversion"/>
  </si>
  <si>
    <t>无符号整数</t>
    <phoneticPr fontId="2" type="noConversion"/>
  </si>
  <si>
    <t>单位：0.1kW</t>
    <phoneticPr fontId="2" type="noConversion"/>
  </si>
  <si>
    <t>4字节顺序：小端格式,低寄存器地址数据在前</t>
    <phoneticPr fontId="2" type="noConversion"/>
  </si>
  <si>
    <t>单位:秒，小端格式(Little-endian byte swap)</t>
    <phoneticPr fontId="2" type="noConversion"/>
  </si>
  <si>
    <t>单位：0.1kW，小端格式(Little-endian byte swap)</t>
    <phoneticPr fontId="2" type="noConversion"/>
  </si>
  <si>
    <t>单位：0.1Ah，小端格式(Little-endian byte swap)</t>
    <phoneticPr fontId="2" type="noConversion"/>
  </si>
  <si>
    <t>单位：秒，小端格式(Little-endian byte swap)</t>
    <phoneticPr fontId="2" type="noConversion"/>
  </si>
  <si>
    <t>单位:次，小端格式(Little-endian byte swap)</t>
    <phoneticPr fontId="2" type="noConversion"/>
  </si>
  <si>
    <t>Linux秒，小端格式(Little-endian byte swap)</t>
    <phoneticPr fontId="2" type="noConversion"/>
  </si>
  <si>
    <t>Hex格式：XX.XX.XX.XX，小端格式(Little-endian byte swap)</t>
    <phoneticPr fontId="2" type="noConversion"/>
  </si>
  <si>
    <t>Unix时间秒，小端格式(Little-endian byte swap)</t>
    <phoneticPr fontId="2" type="noConversion"/>
  </si>
  <si>
    <t>当前电流值、预充电流定值</t>
    <phoneticPr fontId="2" type="noConversion"/>
  </si>
  <si>
    <t>EVT_CPoT_OK,         //簇极柱故障复归</t>
    <phoneticPr fontId="2" type="noConversion"/>
  </si>
  <si>
    <r>
      <t xml:space="preserve">EVT_CMU_UPDATE_OK,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//CMU升级成功</t>
    </r>
    <phoneticPr fontId="2" type="noConversion"/>
  </si>
  <si>
    <r>
      <t>EVT_CMU_UPD_CHK_ERR,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//CMU升级文件校验失败</t>
    </r>
    <phoneticPr fontId="2" type="noConversion"/>
  </si>
  <si>
    <r>
      <t xml:space="preserve">EVT_CFG_CHG,  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//配置改变</t>
    </r>
    <phoneticPr fontId="2" type="noConversion"/>
  </si>
  <si>
    <r>
      <t xml:space="preserve">EVT_SYS_START,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 xml:space="preserve">//50BMS启动  </t>
    </r>
    <phoneticPr fontId="2" type="noConversion"/>
  </si>
  <si>
    <r>
      <t xml:space="preserve">EVT_FAN_CLOSE,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//关风机</t>
    </r>
    <phoneticPr fontId="2" type="noConversion"/>
  </si>
  <si>
    <r>
      <t xml:space="preserve">EVT_FAN_OPEN, 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//开风机</t>
    </r>
    <phoneticPr fontId="2" type="noConversion"/>
  </si>
  <si>
    <r>
      <t xml:space="preserve">EVT_KMN_CLOSE,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//KM-合闸</t>
    </r>
    <phoneticPr fontId="2" type="noConversion"/>
  </si>
  <si>
    <r>
      <t xml:space="preserve">EVT_KMP_CLOSE,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//KM+合闸</t>
    </r>
    <phoneticPr fontId="2" type="noConversion"/>
  </si>
  <si>
    <r>
      <t xml:space="preserve">EVT_KMN_BREAK,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//KM-分闸</t>
    </r>
    <phoneticPr fontId="2" type="noConversion"/>
  </si>
  <si>
    <r>
      <t xml:space="preserve">EVT_KMP_BREAK,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//KM+分闸</t>
    </r>
    <phoneticPr fontId="2" type="noConversion"/>
  </si>
  <si>
    <r>
      <t xml:space="preserve">EVT_QF_BREAK, 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//QF分闸</t>
    </r>
    <phoneticPr fontId="2" type="noConversion"/>
  </si>
  <si>
    <r>
      <t xml:space="preserve">EVT_EMPTY_DISCHG,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 xml:space="preserve"> //40电池放空</t>
    </r>
    <phoneticPr fontId="2" type="noConversion"/>
  </si>
  <si>
    <r>
      <t xml:space="preserve">EVT_FULL_CHG, 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//电池充满</t>
    </r>
    <phoneticPr fontId="2" type="noConversion"/>
  </si>
  <si>
    <r>
      <t xml:space="preserve">EVT_STOP_DISCHG,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//停止放电</t>
    </r>
    <phoneticPr fontId="2" type="noConversion"/>
  </si>
  <si>
    <r>
      <t xml:space="preserve">EVT_START_DISCHG,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//开始放电</t>
    </r>
    <phoneticPr fontId="2" type="noConversion"/>
  </si>
  <si>
    <r>
      <t xml:space="preserve">EVT_STOP_CHG, 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//停止充电</t>
    </r>
    <phoneticPr fontId="2" type="noConversion"/>
  </si>
  <si>
    <r>
      <t xml:space="preserve">EVT_START_CHG,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//开始充电</t>
    </r>
    <phoneticPr fontId="2" type="noConversion"/>
  </si>
  <si>
    <r>
      <t xml:space="preserve">EVT_LEAKAGE_OK,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//电池串漏电流故障复归</t>
    </r>
    <phoneticPr fontId="2" type="noConversion"/>
  </si>
  <si>
    <r>
      <t xml:space="preserve">EVT_LEAKAGE_LOW,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//电池串漏电流故障</t>
    </r>
    <phoneticPr fontId="2" type="noConversion"/>
  </si>
  <si>
    <r>
      <t xml:space="preserve">EVT_INS_RES_OK,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//电池串绝缘故障复归</t>
    </r>
    <phoneticPr fontId="2" type="noConversion"/>
  </si>
  <si>
    <r>
      <t xml:space="preserve">EVT_INS_RES_LOW,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//31电池串绝缘故障</t>
    </r>
    <phoneticPr fontId="2" type="noConversion"/>
  </si>
  <si>
    <r>
      <t xml:space="preserve">EVT_CLUSTER_VOK,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//电池串故障复归</t>
    </r>
    <phoneticPr fontId="2" type="noConversion"/>
  </si>
  <si>
    <r>
      <t xml:space="preserve">EVT_CLUSTER_UUV,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 xml:space="preserve">//电池串低压故障 </t>
    </r>
    <phoneticPr fontId="2" type="noConversion"/>
  </si>
  <si>
    <r>
      <t xml:space="preserve">EVT_CLUSTER_UV,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//电池串低压告警</t>
    </r>
    <phoneticPr fontId="2" type="noConversion"/>
  </si>
  <si>
    <r>
      <t xml:space="preserve">EVT_CLUSTER_OOV,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 xml:space="preserve">//电池串过压故障 </t>
    </r>
    <phoneticPr fontId="2" type="noConversion"/>
  </si>
  <si>
    <r>
      <t xml:space="preserve">EVT_CLUSTER_OV,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//电池串过压告警</t>
    </r>
    <phoneticPr fontId="2" type="noConversion"/>
  </si>
  <si>
    <r>
      <t xml:space="preserve">EVT_CLUSTER_IShort,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//短路故障</t>
    </r>
    <phoneticPr fontId="2" type="noConversion"/>
  </si>
  <si>
    <r>
      <t xml:space="preserve">EVT_CLUSTER_IOK,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//过流复归</t>
    </r>
    <phoneticPr fontId="2" type="noConversion"/>
  </si>
  <si>
    <r>
      <t xml:space="preserve">EVT_CLUSTER_OOI,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//过流故障</t>
    </r>
    <phoneticPr fontId="2" type="noConversion"/>
  </si>
  <si>
    <r>
      <t xml:space="preserve">EVT_CLUSTER_OI,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//22过流告警</t>
    </r>
    <phoneticPr fontId="2" type="noConversion"/>
  </si>
  <si>
    <r>
      <t xml:space="preserve">EVT_POLE_TOK, 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//极柱故障复归</t>
    </r>
    <phoneticPr fontId="2" type="noConversion"/>
  </si>
  <si>
    <r>
      <t xml:space="preserve">EVT_POLE_OOT, 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//极柱过温故障</t>
    </r>
    <phoneticPr fontId="2" type="noConversion"/>
  </si>
  <si>
    <r>
      <t xml:space="preserve">EVT_POLE_OT,  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 xml:space="preserve">//极柱过温告警 </t>
    </r>
    <phoneticPr fontId="2" type="noConversion"/>
  </si>
  <si>
    <r>
      <t xml:space="preserve">EVT_PACK_TOK, 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//模组温度复归</t>
    </r>
    <phoneticPr fontId="2" type="noConversion"/>
  </si>
  <si>
    <r>
      <t xml:space="preserve">EVT_TEMP_OW,  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//模组温度采样线断线告警</t>
    </r>
    <phoneticPr fontId="2" type="noConversion"/>
  </si>
  <si>
    <r>
      <t xml:space="preserve">EVT_PACK_UUT, 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 xml:space="preserve">//模组低温故障 </t>
    </r>
    <phoneticPr fontId="2" type="noConversion"/>
  </si>
  <si>
    <r>
      <t xml:space="preserve">EVT_PACK_UT,  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//模组低温告警</t>
    </r>
    <phoneticPr fontId="2" type="noConversion"/>
  </si>
  <si>
    <r>
      <t xml:space="preserve">EVT_PACK_OOT, 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//模组过温故障</t>
    </r>
    <phoneticPr fontId="2" type="noConversion"/>
  </si>
  <si>
    <r>
      <t xml:space="preserve">EVT_PACK_OT,  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//9模组过温告警</t>
    </r>
    <phoneticPr fontId="2" type="noConversion"/>
  </si>
  <si>
    <r>
      <t xml:space="preserve">EVT_CELL_VOK, 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//单体电池故障复归</t>
    </r>
    <phoneticPr fontId="2" type="noConversion"/>
  </si>
  <si>
    <r>
      <t xml:space="preserve">EVT_VOLT_OW,  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//单体电压采样线断线告警</t>
    </r>
    <phoneticPr fontId="2" type="noConversion"/>
  </si>
  <si>
    <t>EVT_CELL_OOV,        //单体电池过压故障</t>
    <phoneticPr fontId="2" type="noConversion"/>
  </si>
  <si>
    <t>EVT_CELL_OV,         //单体电池过压告警</t>
    <phoneticPr fontId="2" type="noConversion"/>
  </si>
  <si>
    <r>
      <t xml:space="preserve">EVT_CELL_UUV,   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//单体电池低压故障</t>
    </r>
    <phoneticPr fontId="2" type="noConversion"/>
  </si>
  <si>
    <r>
      <t xml:space="preserve">EVT_CELL_UV = 1,  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//1单体电池低压告警</t>
    </r>
    <phoneticPr fontId="2" type="noConversion"/>
  </si>
  <si>
    <r>
      <t xml:space="preserve">EVT_BMU_ERR,         </t>
    </r>
    <r>
      <rPr>
        <sz val="11"/>
        <color theme="1"/>
        <rFont val="宋体"/>
        <family val="3"/>
        <charset val="134"/>
        <scheme val="minor"/>
      </rPr>
      <t>//BMU故障</t>
    </r>
    <phoneticPr fontId="2" type="noConversion"/>
  </si>
  <si>
    <r>
      <t xml:space="preserve">EVT_BMU_ERR_OK,      </t>
    </r>
    <r>
      <rPr>
        <sz val="11"/>
        <color theme="1"/>
        <rFont val="宋体"/>
        <family val="3"/>
        <charset val="134"/>
        <scheme val="minor"/>
      </rPr>
      <t>//BMU故障复归</t>
    </r>
    <phoneticPr fontId="2" type="noConversion"/>
  </si>
  <si>
    <t>EVT_VOLT_OW_OK,      //单体电压断线复归</t>
    <phoneticPr fontId="2" type="noConversion"/>
  </si>
  <si>
    <t>EVT_CMU_UPD_DOWN_ERR,//CMU升级文件下载失败</t>
    <phoneticPr fontId="2" type="noConversion"/>
  </si>
  <si>
    <t>EVT_QF_ERR,          //预留</t>
    <phoneticPr fontId="2" type="noConversion"/>
  </si>
  <si>
    <t>EVT_KM_ERR,          //KM故障(拒动/状态不一)</t>
    <phoneticPr fontId="2" type="noConversion"/>
  </si>
  <si>
    <t>充满放空簇电压回差值</t>
    <phoneticPr fontId="2" type="noConversion"/>
  </si>
  <si>
    <t>0.1mV,默认200mV，范围：50-500mV</t>
    <phoneticPr fontId="2" type="noConversion"/>
  </si>
  <si>
    <t>0.1V，默认值20V,1V-80V</t>
    <phoneticPr fontId="2" type="noConversion"/>
  </si>
  <si>
    <t>bit0-bit15:保留</t>
    <phoneticPr fontId="2" type="noConversion"/>
  </si>
  <si>
    <t>Bit0:绝缘检测模式,0:离网时,1:全程
Bit1-Bit15：预留</t>
    <phoneticPr fontId="2" type="noConversion"/>
  </si>
  <si>
    <t>单体电压数据屏蔽位</t>
    <phoneticPr fontId="2" type="noConversion"/>
  </si>
  <si>
    <t>温度数据屏蔽位</t>
    <phoneticPr fontId="2" type="noConversion"/>
  </si>
  <si>
    <t>bit0:1，屏蔽第1节单体数据；0，不屏蔽
bit1:1，屏蔽第2节单体数据；0，不屏蔽
……</t>
    <phoneticPr fontId="2" type="noConversion"/>
  </si>
  <si>
    <t>1，屏蔽数据；0，不屏蔽
bit0：屏蔽极柱1温度数据
……
bit3：屏蔽极柱4温度数据
bit4：屏蔽电池包温度1数据
……
bit11：屏蔽电池包温度8数据
bit12-bit15：保留</t>
    <phoneticPr fontId="2" type="noConversion"/>
  </si>
  <si>
    <t>默认为0，0：不屏蔽  1：屏蔽该位
Bit0：屏蔽电池包温度1断线；
Bit1：屏蔽电池包温度2断线；
......
Bit7：屏蔽电池包8温度断线；
Bit8：屏蔽极柱温度1断线；
…...
Bit11：屏蔽极柱温度4断线；
Bit12-Bit15：保留</t>
    <phoneticPr fontId="2" type="noConversion"/>
  </si>
  <si>
    <t>0x1EA5：校准SOC</t>
    <phoneticPr fontId="2" type="noConversion"/>
  </si>
  <si>
    <t>0xFFF5</t>
  </si>
  <si>
    <t>0xFFF6</t>
  </si>
  <si>
    <t>SOC手动校准</t>
    <phoneticPr fontId="2" type="noConversion"/>
  </si>
  <si>
    <t>SOC/SOH人工标定</t>
    <phoneticPr fontId="2" type="noConversion"/>
  </si>
  <si>
    <t>0x5xxx：标定SOC
0xAxxx：标定SOH
其中xxx为要标定的值，精度0.1%，范围0%-100%</t>
    <phoneticPr fontId="2" type="noConversion"/>
  </si>
  <si>
    <t>Bit0: 系统总故障，0正常，1故障
Bit1：系统总报警，0正常，1报警
Bit2: 充满，0未充满，1充满
Bit3: 放空，0未放空，1放空
Bit4: 系统初始化，0已初始化，1未初始化
Bit5：CAN通讯，0正常,1离线
Bit6: 均衡，0非均衡状态，1均衡状态
Bit7：充电，0非充电状态，1充电状态
Bit8：放电，0非放电状态，1放电状态
Bit9：停机，0非停机状态，1停机状态
Bit10: 升级标志，0正常运行，1正在升级
Bit11: 绝缘检测板通讯，0正常,1离线
Bit12: 自检状态，0:正常，1故障(预留)
Bit13: nBMU拨码异常，0:正常，1异常(预留)
Bit14: nBMU故障，0:正常，1故障(预留)
Bit15: 并网状态，0:离网，1:并网(预留)</t>
    <phoneticPr fontId="2" type="noConversion"/>
  </si>
  <si>
    <t>Bit0: IO控制闭锁状态(预留)，0:闭锁(不允许操作)，1:未闭锁
Bit1-Bit15:备用</t>
    <phoneticPr fontId="2" type="noConversion"/>
  </si>
  <si>
    <t>Bit0：nBC电池单体过压保护，1为动作，0为复归；
Bit1：nBC电池单体欠压保护，1为动作，0为复归；
Bit2：nBC电池单体高温保护，1为动作，0为复归；
Bit3：nBC电池单体低温保护，1为动作，0为复归；
Bit4：nBC电池单体温升保护，1为动作，0为复归(预留)；
Bit5：nBC电池单体温差保护，1为动作，0为复归(预留)；
Bit6：nBC电池包极柱高温保护，1为动作，0为复归；
Bit7：nBC充放电流过负荷保护，1为动作，0为复归；
Bit8：nBC短路电流保护，1为动作，0为复归；
Bit9：nBC电池簇过压保护，1为动作，0为复归；
Bit10：nBC电池簇欠压保护，1为动作，0为复归；
Bit11：nBC母线绝缘保护，1动作，0复归；
Bit12：nBC母线漏电流保护，1动作，0复归；
Bit13: 簇极柱高温保护，1为动作，0为复归；
Bit14：过放(SOC过低)保护，1为动作，0为复归(预留)；
Bit15：单体压差过大保护，1为动作，0为复归(预留)；</t>
    <phoneticPr fontId="2" type="noConversion"/>
  </si>
  <si>
    <t>Bit0：nBC电池单体过压告警，1为告警，0为正常；
Bit1：nBC电池单体欠压告警，1为告警，0为正常；
Bit2：nBC电池单体高温告警，1为告警，0为正常；
Bit3：nBC电池单体低温告警，1为告警，0为正常；
Bit4：nBC电池单体瞬时温升告警，1为告警，0为正常(预留)；
Bit5：nBC电池单体温差过大告警，1为告警，0为正常(预留)；
Bit6：nBC电池包极柱高温告警，1为告警，0为正常；
Bit7：nBC充放电电流过负荷告警，1为告警，0为正常；
Bit8：nBMU故障告警，1为告警，0位正常；
Bit9：nBC电池簇过压告警，1为告警，0为正常；
Bit10：nBC电池簇欠压告警，1为告警，0为正常；
Bit11：nBC母线绝缘告警，1为告警，0为正常(预留)；
Bit12：漏电流告警，1为告警，0为正常(预留)；
Bit13：簇极柱高温告警，1为告警，0为正常
Bit14：过放(SOC过低)告警，1为告警，0为正常(预留)；
Bit15：单体压差过大告警，1为告警，0为正常(预留)；</t>
    <phoneticPr fontId="2" type="noConversion"/>
  </si>
  <si>
    <t>Bit0：nBMU拨码异常告警，1为告警，0为正常(预留)；
Bit1：电池包电压采集线束断线告警，1为告警，0为正常；
Bit2：电池包温度采集线束断线告警，1为告警，0为正常；
Bit3：簇极柱温度采集线束断线告警，1为告警，0为正常；
Bit4：电压传感器断线告警，1为告警，0为正常(预留)；
Bit5：预留传感器断线告警，1为告警，0为正常(预留)；
Bit6: 断路器拒动告警，1为告警，0为正常；
Bit7: 接触器拒动告警，1为告警，0为正常；
Bit8：簇间压差过大告警,1为告警，0为正常(预留)；
Bit9-Bit15: 保留</t>
    <phoneticPr fontId="2" type="noConversion"/>
  </si>
  <si>
    <t>bit0: QF直流断路器控制输出状态
bit1: KM+正直流接触器控制输出状态
bit2: KM-负直流接触器控制输出状态
bit3: KMR预充电阻投切接触器控制输出状态
bit4: 簇电池故障干接点输出状态
bit5: 充电指示继电器输出状态
bit6: 放电指示继电器输出状态
bit7: 系统运行指示继电器输出状态
bit8: BMU供电NMOS控制输出状态(预留)
bit9: 簇电池告警干接点输出状态
bit10: 风扇控制继电器输出状态
bit11: 预留继电器1输出状态
bit12: 预留继电器2(充满干接点)
bit13: 预留继电器3(放空干接点)
bit14: 预留继电器4(电操合闸控制输出)
bit15: 预留继电器5(电操分闸控制输出)</t>
    <phoneticPr fontId="2" type="noConversion"/>
  </si>
  <si>
    <t>bit0: 断路器QF状态
bit1: 接触器KMP状态
bit2: 接触器KMN状态
bit3: 接触器KMR状态
bit4: CCU告警输入(烟感输人)
bit5: M/S 主/从选择输入
bit6: 预留DIN1(水浸输入)
bit7: 预留DIN2(消防输入)
bit8: 预留DIN3(急停输入)
bit9-bit15:预留</t>
    <phoneticPr fontId="2" type="noConversion"/>
  </si>
  <si>
    <t>当前充电均衡通道数</t>
    <phoneticPr fontId="2" type="noConversion"/>
  </si>
  <si>
    <t>0-255</t>
    <phoneticPr fontId="2" type="noConversion"/>
  </si>
  <si>
    <t>当前放电均衡通道数</t>
    <phoneticPr fontId="2" type="noConversion"/>
  </si>
  <si>
    <t>均衡命令</t>
    <phoneticPr fontId="2" type="noConversion"/>
  </si>
  <si>
    <t>0x10</t>
    <phoneticPr fontId="2" type="noConversion"/>
  </si>
  <si>
    <t>无符号整数</t>
    <phoneticPr fontId="2" type="noConversion"/>
  </si>
  <si>
    <t>只写</t>
    <phoneticPr fontId="2" type="noConversion"/>
  </si>
  <si>
    <t>nCMU</t>
    <phoneticPr fontId="2" type="noConversion"/>
  </si>
  <si>
    <t>0xF0A0</t>
    <phoneticPr fontId="2" type="noConversion"/>
  </si>
  <si>
    <t>0x00:禁止均衡;0x55:强制;0xAA:自动;0x88:手动</t>
    <phoneticPr fontId="2" type="noConversion"/>
  </si>
  <si>
    <t>共3个寄存器:
手动均衡某个单体
0x88(16bit)+BmuID(8bit)+CellID(4bit)+均衡方向(4bit)(0x01放0x02充)+电流大小(8bit)+时间(8bit)(1-30s)
强制均衡某个抽屉
0x55(16bit)+0x55(8bit)+BmuID(8bit)+目标电压(16bit):停止均衡
0x55+0xAA+BmuID+目标电压(16bit):开启某个抽屉强制均衡</t>
    <phoneticPr fontId="2" type="noConversion"/>
  </si>
  <si>
    <t>2022/01/11:
1、增加主动均衡状态和控制点.
2020/04/15:
1、完善预留DI/DO的定义说明；
2、整理预留项。
2020/02/27:
1、增加屏蔽某个BMU数据统计寄存器；
2、增加并列/解列模式使能位；
3、增加系统告警屏蔽寄存器和系统保护屏蔽寄存器；
4、不影响运行的告警不使用(保留),增加允许合闸/分闸命令寄存器，防止误操作。
2019/12/27:
1、增加调试信息端口选择功能使能位(udp为广播模式,端口号500);
2、增加单/多簇模式选择功能使能位;
3、增加备用1s脉冲输出控制(可用于DC/DC电源重启控制)。
2019/10/30:
1、CMU-V2运行点表，初版。
2019/11/08:
1、修改校准命令以兼容旧版。</t>
    <phoneticPr fontId="2" type="noConversion"/>
  </si>
  <si>
    <t>均衡配置参数</t>
    <phoneticPr fontId="2" type="noConversion"/>
  </si>
  <si>
    <t>默认0x7214，通道对数(4bit)+电流大小A(4bit)+均衡时间s(8bit)</t>
    <phoneticPr fontId="2" type="noConversion"/>
  </si>
  <si>
    <t>NTP服务器地址低位</t>
    <phoneticPr fontId="2" type="noConversion"/>
  </si>
  <si>
    <t>NTP服务器地址高位</t>
    <phoneticPr fontId="2" type="noConversion"/>
  </si>
  <si>
    <t>BMU均衡信息------BMU数量:(m)</t>
    <phoneticPr fontId="2" type="noConversion"/>
  </si>
  <si>
    <t>nBP1均衡状态</t>
    <phoneticPr fontId="2" type="noConversion"/>
  </si>
  <si>
    <t>nBP1均衡模式/电流</t>
    <phoneticPr fontId="2" type="noConversion"/>
  </si>
  <si>
    <t>nBP(m)均衡状态</t>
    <phoneticPr fontId="2" type="noConversion"/>
  </si>
  <si>
    <t>nBP(m)均衡模式/电流</t>
    <phoneticPr fontId="2" type="noConversion"/>
  </si>
  <si>
    <t>nBP1通道故障(闭锁)状态</t>
    <phoneticPr fontId="2" type="noConversion"/>
  </si>
  <si>
    <t>均衡状态,Bit0-Bit15：1，开启；0，关闭</t>
    <phoneticPr fontId="2" type="noConversion"/>
  </si>
  <si>
    <t>故障(闭锁)状态,Bit0-Bit15：1，故障/闭锁；0，正常</t>
    <phoneticPr fontId="2" type="noConversion"/>
  </si>
  <si>
    <t>mV</t>
    <phoneticPr fontId="2" type="noConversion"/>
  </si>
  <si>
    <t>nBP(m)通道故障(闭锁)状态</t>
    <phoneticPr fontId="2" type="noConversion"/>
  </si>
  <si>
    <t>nBP1母线24V电压</t>
    <phoneticPr fontId="2" type="noConversion"/>
  </si>
  <si>
    <t>nBP(m)母线24V电压</t>
    <phoneticPr fontId="2" type="noConversion"/>
  </si>
  <si>
    <t>nBP1通信丢帧计数(CAN)</t>
    <phoneticPr fontId="2" type="noConversion"/>
  </si>
  <si>
    <t>0xA00</t>
    <phoneticPr fontId="2" type="noConversion"/>
  </si>
  <si>
    <t>nBMU故障状态/统计------BMU数量:(m)</t>
    <phoneticPr fontId="2" type="noConversion"/>
  </si>
  <si>
    <t>CAN通信丢帧计数(帧数)</t>
    <phoneticPr fontId="2" type="noConversion"/>
  </si>
  <si>
    <t>nBP(m)通信丢帧计数(CAN)</t>
    <phoneticPr fontId="2" type="noConversion"/>
  </si>
  <si>
    <t>BP1 B1充电均衡Ah</t>
    <phoneticPr fontId="2" type="noConversion"/>
  </si>
  <si>
    <t>BP1 B1放电均衡Ah</t>
    <phoneticPr fontId="2" type="noConversion"/>
  </si>
  <si>
    <t>BP1 B1充电均衡Ah，1Ah</t>
    <phoneticPr fontId="2" type="noConversion"/>
  </si>
  <si>
    <t>BP1 B1放电均衡Ah，1Ah</t>
    <phoneticPr fontId="2" type="noConversion"/>
  </si>
  <si>
    <t>BP1 Bn充电均衡Ah</t>
    <phoneticPr fontId="2" type="noConversion"/>
  </si>
  <si>
    <t>BP1 Bn放电均衡Ah</t>
    <phoneticPr fontId="2" type="noConversion"/>
  </si>
  <si>
    <t>BP1 Bn充电均衡Ah，1Ah</t>
    <phoneticPr fontId="2" type="noConversion"/>
  </si>
  <si>
    <t>BP1 Bn放电均衡Ah，1Ah</t>
    <phoneticPr fontId="2" type="noConversion"/>
  </si>
  <si>
    <t>…</t>
    <phoneticPr fontId="2" type="noConversion"/>
  </si>
  <si>
    <t>BPm B1充电均衡Ah</t>
    <phoneticPr fontId="2" type="noConversion"/>
  </si>
  <si>
    <t>BPm B1放电均衡Ah</t>
    <phoneticPr fontId="2" type="noConversion"/>
  </si>
  <si>
    <t>BPm Bn充电均衡Ah</t>
    <phoneticPr fontId="2" type="noConversion"/>
  </si>
  <si>
    <t>BPm Bn放电均衡Ah</t>
    <phoneticPr fontId="2" type="noConversion"/>
  </si>
  <si>
    <t>BPm B1充电均衡Ah，1Ah</t>
    <phoneticPr fontId="2" type="noConversion"/>
  </si>
  <si>
    <t>BPm B1放电均衡Ah，1Ah</t>
    <phoneticPr fontId="2" type="noConversion"/>
  </si>
  <si>
    <t>BPm Bn充电均衡Ah，1Ah</t>
    <phoneticPr fontId="2" type="noConversion"/>
  </si>
  <si>
    <t>BPm Bn放电均衡Ah，1Ah</t>
    <phoneticPr fontId="2" type="noConversion"/>
  </si>
  <si>
    <t>BMU统计信息------BMU数量:(m);电池包单体个数:(n)</t>
    <phoneticPr fontId="2" type="noConversion"/>
  </si>
  <si>
    <t>mA</t>
    <phoneticPr fontId="2" type="noConversion"/>
  </si>
  <si>
    <t>nBP1电池侧DC/DC电流</t>
    <phoneticPr fontId="2" type="noConversion"/>
  </si>
  <si>
    <t>(高8bit:均衡设置电流int8,0.1A;低8bit:当前均衡模式)</t>
    <phoneticPr fontId="2" type="noConversion"/>
  </si>
  <si>
    <t>nBP(m)电池侧DC/DC电流</t>
    <phoneticPr fontId="2" type="noConversion"/>
  </si>
  <si>
    <r>
      <t xml:space="preserve">EVT_REMOTE_IO_CTRL,  </t>
    </r>
    <r>
      <rPr>
        <sz val="11"/>
        <color theme="1"/>
        <rFont val="宋体"/>
        <family val="3"/>
        <charset val="134"/>
        <scheme val="minor"/>
      </rPr>
      <t>//远程IO控制(Modbus)</t>
    </r>
    <phoneticPr fontId="2" type="noConversion"/>
  </si>
  <si>
    <r>
      <t xml:space="preserve">EVT_QF_BREAK_HW,     </t>
    </r>
    <r>
      <rPr>
        <sz val="11"/>
        <color theme="1"/>
        <rFont val="宋体"/>
        <family val="3"/>
        <charset val="134"/>
        <scheme val="minor"/>
      </rPr>
      <t>//外部硬件QF脱扣动作</t>
    </r>
    <phoneticPr fontId="2" type="noConversion"/>
  </si>
  <si>
    <r>
      <t xml:space="preserve">EVT_AC_OFF,          </t>
    </r>
    <r>
      <rPr>
        <sz val="11"/>
        <color theme="1"/>
        <rFont val="宋体"/>
        <family val="3"/>
        <charset val="134"/>
        <scheme val="minor"/>
      </rPr>
      <t>//系统AC掉电</t>
    </r>
    <phoneticPr fontId="2" type="noConversion"/>
  </si>
  <si>
    <t>EVT_PRE_CHG_ERR,     //60预充失败</t>
    <phoneticPr fontId="2" type="noConversion"/>
  </si>
  <si>
    <t>EVT_TEMP_OW_OK,      //温度断线复归</t>
    <phoneticPr fontId="2" type="noConversion"/>
  </si>
  <si>
    <t>EVT_KMR,             //KMR动作</t>
    <phoneticPr fontId="2" type="noConversion"/>
  </si>
  <si>
    <t>EVT_CELL_OVDiff,     //单体压差告警(预留)</t>
    <phoneticPr fontId="2" type="noConversion"/>
  </si>
  <si>
    <t>EVT_CELL_OOVDiff,    //单体压差故障(预留)</t>
    <phoneticPr fontId="2" type="noConversion"/>
  </si>
  <si>
    <t>单体最大电压、最小电压(uint16)</t>
    <phoneticPr fontId="2" type="noConversion"/>
  </si>
  <si>
    <r>
      <t xml:space="preserve">EVT_PACK_OTDiff,     </t>
    </r>
    <r>
      <rPr>
        <sz val="11"/>
        <color theme="1"/>
        <rFont val="宋体"/>
        <family val="3"/>
        <charset val="134"/>
        <scheme val="minor"/>
      </rPr>
      <t>//模组温差告警(预留)</t>
    </r>
    <phoneticPr fontId="2" type="noConversion"/>
  </si>
  <si>
    <r>
      <t xml:space="preserve">EVT_PACK_OOTDiff,    </t>
    </r>
    <r>
      <rPr>
        <sz val="11"/>
        <color theme="1"/>
        <rFont val="宋体"/>
        <family val="3"/>
        <charset val="134"/>
        <scheme val="minor"/>
      </rPr>
      <t>//模组温差故障(预留)</t>
    </r>
    <phoneticPr fontId="2" type="noConversion"/>
  </si>
  <si>
    <r>
      <t xml:space="preserve">EVT_PACK_OTrise,     </t>
    </r>
    <r>
      <rPr>
        <sz val="11"/>
        <color theme="1"/>
        <rFont val="宋体"/>
        <family val="3"/>
        <charset val="134"/>
        <scheme val="minor"/>
      </rPr>
      <t>//模组温升告警(预留)</t>
    </r>
    <phoneticPr fontId="2" type="noConversion"/>
  </si>
  <si>
    <r>
      <t xml:space="preserve">EVT_PACK_OOTrise,    </t>
    </r>
    <r>
      <rPr>
        <sz val="11"/>
        <color theme="1"/>
        <rFont val="宋体"/>
        <family val="3"/>
        <charset val="134"/>
        <scheme val="minor"/>
      </rPr>
      <t>//模组温升故障(预留)</t>
    </r>
    <phoneticPr fontId="2" type="noConversion"/>
  </si>
  <si>
    <t>模组最大、最小温度(int16)</t>
    <phoneticPr fontId="2" type="noConversion"/>
  </si>
  <si>
    <t>极柱最大温度、门限温度(int16)</t>
    <phoneticPr fontId="2" type="noConversion"/>
  </si>
  <si>
    <t>系统上次的状态
2:放电;4:停机</t>
    <phoneticPr fontId="2" type="noConversion"/>
  </si>
  <si>
    <t>系统上次的状态
1:充电</t>
    <phoneticPr fontId="2" type="noConversion"/>
  </si>
  <si>
    <t>簇电流、充放检测阈值(int16)</t>
    <phoneticPr fontId="2" type="noConversion"/>
  </si>
  <si>
    <t>系统上次的状态
1:充电;4:停机</t>
    <phoneticPr fontId="2" type="noConversion"/>
  </si>
  <si>
    <t>系统上次的状态
2:放电</t>
    <phoneticPr fontId="2" type="noConversion"/>
  </si>
  <si>
    <t>簇电压、最大单体电压(uint16)</t>
    <phoneticPr fontId="2" type="noConversion"/>
  </si>
  <si>
    <t>簇电压、最小单体电压(uint16)</t>
    <phoneticPr fontId="2" type="noConversion"/>
  </si>
  <si>
    <r>
      <t xml:space="preserve">EVT_BAL_START,       </t>
    </r>
    <r>
      <rPr>
        <sz val="11"/>
        <color theme="1"/>
        <rFont val="宋体"/>
        <family val="3"/>
        <charset val="134"/>
        <scheme val="minor"/>
      </rPr>
      <t>//均衡启动</t>
    </r>
    <r>
      <rPr>
        <sz val="11"/>
        <color theme="1"/>
        <rFont val="宋体"/>
        <family val="3"/>
        <charset val="134"/>
        <scheme val="minor"/>
      </rPr>
      <t>(</t>
    </r>
    <r>
      <rPr>
        <sz val="11"/>
        <color theme="1"/>
        <rFont val="宋体"/>
        <family val="3"/>
        <charset val="134"/>
        <scheme val="minor"/>
      </rPr>
      <t>预留</t>
    </r>
    <r>
      <rPr>
        <sz val="11"/>
        <color theme="1"/>
        <rFont val="宋体"/>
        <family val="3"/>
        <charset val="134"/>
        <scheme val="minor"/>
      </rPr>
      <t>)</t>
    </r>
    <phoneticPr fontId="2" type="noConversion"/>
  </si>
  <si>
    <r>
      <t xml:space="preserve">EVT_BAL_STOP,        </t>
    </r>
    <r>
      <rPr>
        <sz val="11"/>
        <color theme="1"/>
        <rFont val="宋体"/>
        <family val="3"/>
        <charset val="134"/>
        <scheme val="minor"/>
      </rPr>
      <t>//均衡停止</t>
    </r>
    <r>
      <rPr>
        <sz val="11"/>
        <color theme="1"/>
        <rFont val="宋体"/>
        <family val="3"/>
        <charset val="134"/>
        <scheme val="minor"/>
      </rPr>
      <t>(</t>
    </r>
    <r>
      <rPr>
        <sz val="11"/>
        <color theme="1"/>
        <rFont val="宋体"/>
        <family val="3"/>
        <charset val="134"/>
        <scheme val="minor"/>
      </rPr>
      <t>预留</t>
    </r>
    <r>
      <rPr>
        <sz val="11"/>
        <color theme="1"/>
        <rFont val="宋体"/>
        <family val="3"/>
        <charset val="134"/>
        <scheme val="minor"/>
      </rPr>
      <t>)</t>
    </r>
    <phoneticPr fontId="2" type="noConversion"/>
  </si>
  <si>
    <t>线圈ID号-0</t>
    <phoneticPr fontId="2" type="noConversion"/>
  </si>
  <si>
    <t>线圈ID号-1</t>
    <phoneticPr fontId="2" type="noConversion"/>
  </si>
  <si>
    <t>线圈ID号-2</t>
    <phoneticPr fontId="2" type="noConversion"/>
  </si>
  <si>
    <t>故障状态字(uint16)</t>
    <phoneticPr fontId="2" type="noConversion"/>
  </si>
  <si>
    <t>--</t>
    <phoneticPr fontId="2" type="noConversion"/>
  </si>
  <si>
    <t>输入寄存器状态</t>
    <phoneticPr fontId="2" type="noConversion"/>
  </si>
  <si>
    <t>输出寄存器状态</t>
    <phoneticPr fontId="2" type="noConversion"/>
  </si>
  <si>
    <t>线圈ID号-3</t>
    <phoneticPr fontId="2" type="noConversion"/>
  </si>
  <si>
    <t>KMR控制继电器状态</t>
    <phoneticPr fontId="2" type="noConversion"/>
  </si>
  <si>
    <t>nBC 单体欠压自杀阈值</t>
    <phoneticPr fontId="2" type="noConversion"/>
  </si>
  <si>
    <r>
      <rPr>
        <sz val="10"/>
        <color rgb="FF0000CC"/>
        <rFont val="宋体"/>
        <family val="3"/>
        <charset val="134"/>
        <scheme val="minor"/>
      </rPr>
      <t>Bit0:使能预留电流传感器，0：关闭；1：使能</t>
    </r>
    <r>
      <rPr>
        <sz val="10"/>
        <rFont val="宋体"/>
        <family val="3"/>
        <charset val="134"/>
        <scheme val="minor"/>
      </rPr>
      <t xml:space="preserve">
Bit1:使能绝缘检测板电压采样，0：关闭；1：使能
Bit2:使能电压传感器，0：关闭；1：使能
Bit3:使能漏电传感器，0：关闭；1：使能
Bit4:使能绝缘检测，0：关闭；1：使能
Bit5:开启Modbus写保护，0：关闭；1：开启
Bit6:使能故障录播功能，0：关闭；1：使能
Bit7:关闭参数设置限制，0：开启设置限制；1：关闭设置限制
Bit8:开启本地环控，0：远程环控；1：本地环控
Bit9:关闭接触器远程控制，0：远程控制；1：关闭远程
Bit10:调试信息输出端口选择,0:串口,1:udp
Bit11:使能调试信息输出,0:关闭,1:开启
Bit12:单/多簇模式选择,0:单簇模式,1:多簇模式(预留)
Bit13:并列/解列模式,0:并列模式,1:解列模式
Bit14:禁用预充逻辑,0:开启,1:禁用
Bit15:禁用安防保护,0:开启,1:禁用</t>
    </r>
    <phoneticPr fontId="2" type="noConversion"/>
  </si>
  <si>
    <t>0.1V
0.0001V</t>
    <phoneticPr fontId="2" type="noConversion"/>
  </si>
  <si>
    <t>EVT_SelfKill,        //欠压自杀</t>
    <phoneticPr fontId="2" type="noConversion"/>
  </si>
  <si>
    <t>EVT_QF_TRG,          //QF状态跳变</t>
    <phoneticPr fontId="2" type="noConversion"/>
  </si>
  <si>
    <t>EVT_KMP_TRG,         //KM+状态跳变</t>
    <phoneticPr fontId="2" type="noConversion"/>
  </si>
  <si>
    <t>EVT_KMN_TRG,         //KM-状态跳变</t>
    <phoneticPr fontId="2" type="noConversion"/>
  </si>
  <si>
    <t>EVT_KMR_TRG,         //KMR状态跳变</t>
    <phoneticPr fontId="2" type="noConversion"/>
  </si>
  <si>
    <t>最小单体电压ID</t>
    <phoneticPr fontId="2" type="noConversion"/>
  </si>
  <si>
    <t>跳变前状态</t>
    <phoneticPr fontId="2" type="noConversion"/>
  </si>
  <si>
    <t>最小单体电压、自杀门限值</t>
    <phoneticPr fontId="2" type="noConversion"/>
  </si>
  <si>
    <t>跳变后状态</t>
    <phoneticPr fontId="2" type="noConversion"/>
  </si>
  <si>
    <t>0.0001V</t>
    <phoneticPr fontId="2" type="noConversion"/>
  </si>
  <si>
    <t>0:KM+;1:KM-;
2:KMR;3:QF
4:综合命令</t>
    <phoneticPr fontId="2" type="noConversion"/>
  </si>
  <si>
    <t>操作IP,控制命令:0xAA55,合;0x55AA,分</t>
    <phoneticPr fontId="2" type="noConversion"/>
  </si>
  <si>
    <t>偏移地址</t>
    <phoneticPr fontId="2" type="noConversion"/>
  </si>
  <si>
    <t>更改前的值、更改后的值</t>
    <phoneticPr fontId="2" type="noConversion"/>
  </si>
  <si>
    <t>nBC 单体欠压自杀延时</t>
    <phoneticPr fontId="2" type="noConversion"/>
  </si>
  <si>
    <t>1s，默认1800s，范围：1s-36000s</t>
    <phoneticPr fontId="2" type="noConversion"/>
  </si>
  <si>
    <t>0.0001V，默认2.6V，范围：0.05V-3.0V</t>
    <phoneticPr fontId="2" type="noConversion"/>
  </si>
  <si>
    <t>基地址:5358</t>
    <phoneticPr fontId="2" type="noConversion"/>
  </si>
  <si>
    <t>0xFF07</t>
    <phoneticPr fontId="2" type="noConversion"/>
  </si>
  <si>
    <t>0xFF08</t>
    <phoneticPr fontId="2" type="noConversion"/>
  </si>
  <si>
    <t>绝缘检测控制</t>
    <phoneticPr fontId="2" type="noConversion"/>
  </si>
  <si>
    <t>清绝缘电阻故障</t>
    <phoneticPr fontId="2" type="noConversion"/>
  </si>
  <si>
    <t>0xAA55：清除绝缘故障
其它：不动作</t>
    <phoneticPr fontId="2" type="noConversion"/>
  </si>
  <si>
    <t>0x0000：全程投入绝缘检测（默认）；
0xAA55：远程投入绝缘检测；
0x55AA：远程断开绝缘检测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</si>
</sst>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Times New Roman"/>
      <family val="1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宋体"/>
      <family val="3"/>
      <charset val="134"/>
      <scheme val="minor"/>
    </font>
    <font>
      <i/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rgb="FF0000CC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/>
    <xf numFmtId="0" fontId="3" fillId="0" borderId="2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0" fillId="0" borderId="1" xfId="0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Fill="1" applyBorder="1" applyAlignment="1"/>
    <xf numFmtId="0" fontId="3" fillId="0" borderId="1" xfId="0" applyFont="1" applyBorder="1" applyAlignment="1">
      <alignment horizontal="center" vertical="center"/>
    </xf>
    <xf numFmtId="0" fontId="0" fillId="0" borderId="1" xfId="0" applyFont="1" applyFill="1" applyBorder="1" applyAlignment="1"/>
    <xf numFmtId="0" fontId="3" fillId="0" borderId="1" xfId="0" applyFont="1" applyBorder="1">
      <alignment vertical="center"/>
    </xf>
    <xf numFmtId="0" fontId="3" fillId="0" borderId="1" xfId="0" quotePrefix="1" applyFont="1" applyBorder="1">
      <alignment vertical="center"/>
    </xf>
    <xf numFmtId="0" fontId="6" fillId="0" borderId="1" xfId="0" applyFont="1" applyFill="1" applyBorder="1" applyAlignment="1" applyProtection="1">
      <alignment horizontal="left" vertical="center" wrapText="1"/>
    </xf>
    <xf numFmtId="0" fontId="7" fillId="0" borderId="1" xfId="0" applyFont="1" applyBorder="1" applyAlignment="1" applyProtection="1">
      <alignment horizontal="left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10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</xf>
    <xf numFmtId="0" fontId="6" fillId="0" borderId="1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</xf>
    <xf numFmtId="0" fontId="7" fillId="0" borderId="12" xfId="0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left" vertical="center" wrapText="1"/>
    </xf>
    <xf numFmtId="0" fontId="7" fillId="0" borderId="1" xfId="0" applyNumberFormat="1" applyFont="1" applyFill="1" applyBorder="1" applyAlignment="1" applyProtection="1">
      <alignment horizontal="left" vertical="center"/>
    </xf>
    <xf numFmtId="0" fontId="12" fillId="0" borderId="1" xfId="0" applyNumberFormat="1" applyFont="1" applyFill="1" applyBorder="1" applyAlignment="1" applyProtection="1">
      <alignment horizontal="left" vertical="center"/>
    </xf>
    <xf numFmtId="0" fontId="7" fillId="2" borderId="1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0" borderId="0" xfId="0" applyFont="1">
      <alignment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</xf>
    <xf numFmtId="0" fontId="6" fillId="0" borderId="12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6" fillId="0" borderId="1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0" fontId="3" fillId="0" borderId="1" xfId="0" quotePrefix="1" applyFont="1" applyBorder="1" applyAlignment="1">
      <alignment horizontal="left"/>
    </xf>
    <xf numFmtId="0" fontId="6" fillId="9" borderId="1" xfId="0" applyFont="1" applyFill="1" applyBorder="1" applyAlignment="1">
      <alignment horizontal="left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/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left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3" fillId="0" borderId="2" xfId="0" applyFont="1" applyFill="1" applyBorder="1">
      <alignment vertical="center"/>
    </xf>
    <xf numFmtId="0" fontId="3" fillId="0" borderId="1" xfId="0" applyFont="1" applyFill="1" applyBorder="1" applyAlignment="1">
      <alignment horizontal="left" wrapText="1"/>
    </xf>
    <xf numFmtId="0" fontId="3" fillId="0" borderId="1" xfId="0" quotePrefix="1" applyFont="1" applyFill="1" applyBorder="1">
      <alignment vertical="center"/>
    </xf>
    <xf numFmtId="0" fontId="3" fillId="0" borderId="1" xfId="0" quotePrefix="1" applyFont="1" applyFill="1" applyBorder="1" applyAlignment="1">
      <alignment horizontal="left"/>
    </xf>
    <xf numFmtId="0" fontId="0" fillId="0" borderId="1" xfId="0" applyFont="1" applyFill="1" applyBorder="1" applyAlignment="1">
      <alignment vertical="center"/>
    </xf>
    <xf numFmtId="0" fontId="7" fillId="5" borderId="9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vertical="center" wrapText="1"/>
    </xf>
    <xf numFmtId="0" fontId="0" fillId="7" borderId="10" xfId="0" applyFill="1" applyBorder="1" applyAlignment="1">
      <alignment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9" fillId="0" borderId="7" xfId="0" applyFont="1" applyBorder="1" applyAlignment="1" applyProtection="1">
      <alignment horizontal="center" vertical="center" wrapText="1"/>
    </xf>
    <xf numFmtId="0" fontId="9" fillId="0" borderId="8" xfId="0" applyFont="1" applyBorder="1" applyAlignment="1" applyProtection="1">
      <alignment horizontal="center" vertical="center" wrapText="1"/>
    </xf>
    <xf numFmtId="0" fontId="10" fillId="0" borderId="9" xfId="0" applyFont="1" applyBorder="1" applyAlignment="1" applyProtection="1">
      <alignment horizontal="center" vertical="center" wrapText="1"/>
    </xf>
    <xf numFmtId="0" fontId="10" fillId="0" borderId="2" xfId="0" applyFont="1" applyBorder="1" applyAlignment="1" applyProtection="1">
      <alignment horizontal="center" vertical="center" wrapText="1"/>
    </xf>
    <xf numFmtId="0" fontId="10" fillId="0" borderId="10" xfId="0" applyFont="1" applyBorder="1" applyAlignment="1" applyProtection="1">
      <alignment horizontal="center" vertical="center" wrapText="1"/>
    </xf>
    <xf numFmtId="0" fontId="7" fillId="0" borderId="16" xfId="0" applyFont="1" applyBorder="1" applyAlignment="1" applyProtection="1">
      <alignment horizontal="left" vertical="center" wrapText="1"/>
    </xf>
    <xf numFmtId="0" fontId="7" fillId="0" borderId="17" xfId="0" applyFont="1" applyBorder="1" applyAlignment="1" applyProtection="1">
      <alignment horizontal="left" vertical="center" wrapText="1"/>
    </xf>
    <xf numFmtId="0" fontId="7" fillId="4" borderId="11" xfId="0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 applyProtection="1">
      <alignment horizontal="center" vertical="center" wrapText="1"/>
    </xf>
    <xf numFmtId="0" fontId="7" fillId="4" borderId="12" xfId="0" applyFont="1" applyFill="1" applyBorder="1" applyAlignment="1" applyProtection="1">
      <alignment horizontal="center" vertical="center" wrapText="1"/>
    </xf>
    <xf numFmtId="0" fontId="7" fillId="5" borderId="9" xfId="0" applyFont="1" applyFill="1" applyBorder="1" applyAlignment="1" applyProtection="1">
      <alignment horizontal="left" vertical="center" wrapText="1"/>
    </xf>
    <xf numFmtId="0" fontId="7" fillId="5" borderId="2" xfId="0" applyFont="1" applyFill="1" applyBorder="1" applyAlignment="1" applyProtection="1">
      <alignment horizontal="left" vertical="center" wrapText="1"/>
    </xf>
    <xf numFmtId="0" fontId="7" fillId="5" borderId="10" xfId="0" applyFont="1" applyFill="1" applyBorder="1" applyAlignment="1" applyProtection="1">
      <alignment horizontal="left" vertical="center" wrapText="1"/>
    </xf>
    <xf numFmtId="0" fontId="7" fillId="8" borderId="9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7" fillId="8" borderId="10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0" xfId="0" applyFont="1" applyFill="1" applyAlignment="1">
      <alignment horizontal="left" vertical="top" wrapText="1"/>
    </xf>
    <xf numFmtId="0" fontId="3" fillId="0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/>
  <colors>
    <mruColors>
      <color rgb="FF0000CC"/>
      <color rgb="FF0000FF"/>
      <color rgb="FFFFFF00"/>
      <color rgb="FF92D050"/>
      <color rgb="FFFF0000"/>
      <color rgb="FF8DB4E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2"/>
  <sheetViews>
    <sheetView tabSelected="1" topLeftCell="A304" zoomScale="85" zoomScaleNormal="85" workbookViewId="0">
      <selection activeCell="G323" sqref="G323"/>
    </sheetView>
  </sheetViews>
  <sheetFormatPr defaultColWidth="9" defaultRowHeight="14.4" x14ac:dyDescent="0.25"/>
  <cols>
    <col min="1" max="1" width="5.5546875" style="31" bestFit="1" customWidth="1"/>
    <col min="2" max="2" width="38" style="59" bestFit="1" customWidth="1"/>
    <col min="3" max="3" width="9.88671875" style="59" customWidth="1"/>
    <col min="4" max="4" width="9.33203125" style="31" bestFit="1" customWidth="1"/>
    <col min="5" max="5" width="8.5546875" style="31" bestFit="1" customWidth="1"/>
    <col min="6" max="6" width="11.6640625" style="31" bestFit="1" customWidth="1"/>
    <col min="7" max="7" width="60.88671875" style="31" customWidth="1"/>
    <col min="8" max="8" width="6.5546875" style="31" bestFit="1" customWidth="1"/>
    <col min="9" max="9" width="13.88671875" style="31" bestFit="1" customWidth="1"/>
    <col min="10" max="10" width="11.6640625" style="31" bestFit="1" customWidth="1"/>
  </cols>
  <sheetData>
    <row r="1" spans="1:10" x14ac:dyDescent="0.25">
      <c r="A1" s="127" t="s">
        <v>434</v>
      </c>
      <c r="B1" s="128"/>
      <c r="C1" s="128"/>
      <c r="D1" s="128"/>
      <c r="E1" s="128"/>
      <c r="F1" s="128"/>
      <c r="G1" s="128"/>
      <c r="H1" s="128"/>
      <c r="I1" s="128"/>
      <c r="J1" s="129"/>
    </row>
    <row r="2" spans="1:10" x14ac:dyDescent="0.25">
      <c r="A2" s="32" t="s">
        <v>229</v>
      </c>
      <c r="B2" s="133" t="s">
        <v>230</v>
      </c>
      <c r="C2" s="134"/>
      <c r="D2" s="33">
        <v>16</v>
      </c>
      <c r="E2" s="21" t="s">
        <v>225</v>
      </c>
      <c r="F2" s="33">
        <v>14</v>
      </c>
      <c r="G2" s="20" t="s">
        <v>232</v>
      </c>
      <c r="H2" s="33">
        <v>6</v>
      </c>
      <c r="I2" s="21" t="s">
        <v>231</v>
      </c>
      <c r="J2" s="34">
        <v>2</v>
      </c>
    </row>
    <row r="3" spans="1:10" x14ac:dyDescent="0.25">
      <c r="A3" s="130" t="s">
        <v>519</v>
      </c>
      <c r="B3" s="131"/>
      <c r="C3" s="131"/>
      <c r="D3" s="131"/>
      <c r="E3" s="131"/>
      <c r="F3" s="131"/>
      <c r="G3" s="131"/>
      <c r="H3" s="131"/>
      <c r="I3" s="131"/>
      <c r="J3" s="132"/>
    </row>
    <row r="4" spans="1:10" s="1" customFormat="1" x14ac:dyDescent="0.25">
      <c r="A4" s="32" t="s">
        <v>0</v>
      </c>
      <c r="B4" s="20" t="s">
        <v>1</v>
      </c>
      <c r="C4" s="20" t="s">
        <v>298</v>
      </c>
      <c r="D4" s="21" t="s">
        <v>2</v>
      </c>
      <c r="E4" s="21" t="s">
        <v>3</v>
      </c>
      <c r="F4" s="21" t="s">
        <v>4</v>
      </c>
      <c r="G4" s="21" t="s">
        <v>5</v>
      </c>
      <c r="H4" s="21" t="s">
        <v>6</v>
      </c>
      <c r="I4" s="21" t="s">
        <v>7</v>
      </c>
      <c r="J4" s="35" t="s">
        <v>8</v>
      </c>
    </row>
    <row r="5" spans="1:10" s="1" customFormat="1" x14ac:dyDescent="0.25">
      <c r="A5" s="135" t="s">
        <v>128</v>
      </c>
      <c r="B5" s="136"/>
      <c r="C5" s="136"/>
      <c r="D5" s="136"/>
      <c r="E5" s="136"/>
      <c r="F5" s="136"/>
      <c r="G5" s="136"/>
      <c r="H5" s="136"/>
      <c r="I5" s="136"/>
      <c r="J5" s="137"/>
    </row>
    <row r="6" spans="1:10" s="1" customFormat="1" x14ac:dyDescent="0.25">
      <c r="A6" s="138" t="s">
        <v>129</v>
      </c>
      <c r="B6" s="139"/>
      <c r="C6" s="139"/>
      <c r="D6" s="139"/>
      <c r="E6" s="139"/>
      <c r="F6" s="139"/>
      <c r="G6" s="139"/>
      <c r="H6" s="139"/>
      <c r="I6" s="139"/>
      <c r="J6" s="140"/>
    </row>
    <row r="7" spans="1:10" s="1" customFormat="1" x14ac:dyDescent="0.25">
      <c r="A7" s="32">
        <v>1</v>
      </c>
      <c r="B7" s="20" t="s">
        <v>130</v>
      </c>
      <c r="C7" s="20" t="s">
        <v>300</v>
      </c>
      <c r="D7" s="21">
        <v>1</v>
      </c>
      <c r="E7" s="22">
        <v>4</v>
      </c>
      <c r="F7" s="22" t="s">
        <v>9</v>
      </c>
      <c r="G7" s="78" t="s">
        <v>520</v>
      </c>
      <c r="H7" s="22" t="s">
        <v>11</v>
      </c>
      <c r="I7" s="21" t="s">
        <v>125</v>
      </c>
      <c r="J7" s="35" t="s">
        <v>126</v>
      </c>
    </row>
    <row r="8" spans="1:10" s="1" customFormat="1" ht="192" x14ac:dyDescent="0.25">
      <c r="A8" s="36">
        <v>2</v>
      </c>
      <c r="B8" s="19" t="s">
        <v>132</v>
      </c>
      <c r="C8" s="20" t="s">
        <v>300</v>
      </c>
      <c r="D8" s="23">
        <v>3</v>
      </c>
      <c r="E8" s="23">
        <v>2</v>
      </c>
      <c r="F8" s="23" t="s">
        <v>9</v>
      </c>
      <c r="G8" s="19" t="s">
        <v>597</v>
      </c>
      <c r="H8" s="23" t="s">
        <v>82</v>
      </c>
      <c r="I8" s="37" t="s">
        <v>125</v>
      </c>
      <c r="J8" s="38"/>
    </row>
    <row r="9" spans="1:10" s="1" customFormat="1" ht="24" x14ac:dyDescent="0.25">
      <c r="A9" s="32">
        <v>3</v>
      </c>
      <c r="B9" s="19" t="s">
        <v>133</v>
      </c>
      <c r="C9" s="20" t="s">
        <v>300</v>
      </c>
      <c r="D9" s="23">
        <v>4</v>
      </c>
      <c r="E9" s="23">
        <v>2</v>
      </c>
      <c r="F9" s="23" t="s">
        <v>9</v>
      </c>
      <c r="G9" s="19" t="s">
        <v>598</v>
      </c>
      <c r="H9" s="23" t="s">
        <v>82</v>
      </c>
      <c r="I9" s="21" t="s">
        <v>125</v>
      </c>
      <c r="J9" s="35"/>
    </row>
    <row r="10" spans="1:10" s="1" customFormat="1" ht="192" x14ac:dyDescent="0.25">
      <c r="A10" s="36">
        <v>4</v>
      </c>
      <c r="B10" s="19" t="s">
        <v>329</v>
      </c>
      <c r="C10" s="20" t="s">
        <v>300</v>
      </c>
      <c r="D10" s="23">
        <v>5</v>
      </c>
      <c r="E10" s="23">
        <v>2</v>
      </c>
      <c r="F10" s="23" t="s">
        <v>77</v>
      </c>
      <c r="G10" s="19" t="s">
        <v>599</v>
      </c>
      <c r="H10" s="23" t="s">
        <v>11</v>
      </c>
      <c r="I10" s="21" t="s">
        <v>125</v>
      </c>
      <c r="J10" s="35"/>
    </row>
    <row r="11" spans="1:10" s="1" customFormat="1" ht="60" x14ac:dyDescent="0.25">
      <c r="A11" s="76">
        <v>5</v>
      </c>
      <c r="B11" s="19" t="s">
        <v>330</v>
      </c>
      <c r="C11" s="72" t="s">
        <v>300</v>
      </c>
      <c r="D11" s="23">
        <v>6</v>
      </c>
      <c r="E11" s="23">
        <v>2</v>
      </c>
      <c r="F11" s="23" t="s">
        <v>77</v>
      </c>
      <c r="G11" s="19" t="s">
        <v>511</v>
      </c>
      <c r="H11" s="23" t="s">
        <v>11</v>
      </c>
      <c r="I11" s="77" t="s">
        <v>125</v>
      </c>
      <c r="J11" s="35"/>
    </row>
    <row r="12" spans="1:10" s="1" customFormat="1" ht="192" x14ac:dyDescent="0.25">
      <c r="A12" s="36">
        <v>6</v>
      </c>
      <c r="B12" s="39" t="s">
        <v>331</v>
      </c>
      <c r="C12" s="20" t="s">
        <v>300</v>
      </c>
      <c r="D12" s="23">
        <v>7</v>
      </c>
      <c r="E12" s="23">
        <v>2</v>
      </c>
      <c r="F12" s="23" t="s">
        <v>9</v>
      </c>
      <c r="G12" s="19" t="s">
        <v>600</v>
      </c>
      <c r="H12" s="23" t="s">
        <v>11</v>
      </c>
      <c r="I12" s="21" t="s">
        <v>125</v>
      </c>
      <c r="J12" s="35"/>
    </row>
    <row r="13" spans="1:10" s="1" customFormat="1" ht="120" x14ac:dyDescent="0.25">
      <c r="A13" s="76">
        <v>7</v>
      </c>
      <c r="B13" s="39" t="s">
        <v>332</v>
      </c>
      <c r="C13" s="72" t="s">
        <v>300</v>
      </c>
      <c r="D13" s="23">
        <v>8</v>
      </c>
      <c r="E13" s="23">
        <v>2</v>
      </c>
      <c r="F13" s="23" t="s">
        <v>9</v>
      </c>
      <c r="G13" s="19" t="s">
        <v>601</v>
      </c>
      <c r="H13" s="23" t="s">
        <v>11</v>
      </c>
      <c r="I13" s="77" t="s">
        <v>125</v>
      </c>
      <c r="J13" s="35"/>
    </row>
    <row r="14" spans="1:10" s="1" customFormat="1" ht="36" x14ac:dyDescent="0.25">
      <c r="A14" s="36">
        <v>8</v>
      </c>
      <c r="B14" s="39" t="s">
        <v>131</v>
      </c>
      <c r="C14" s="20" t="s">
        <v>300</v>
      </c>
      <c r="D14" s="23">
        <v>9</v>
      </c>
      <c r="E14" s="23">
        <v>4</v>
      </c>
      <c r="F14" s="23" t="s">
        <v>9</v>
      </c>
      <c r="G14" s="19" t="s">
        <v>134</v>
      </c>
      <c r="H14" s="23" t="s">
        <v>11</v>
      </c>
      <c r="I14" s="21" t="s">
        <v>125</v>
      </c>
      <c r="J14" s="35"/>
    </row>
    <row r="15" spans="1:10" s="1" customFormat="1" ht="48" x14ac:dyDescent="0.25">
      <c r="A15" s="32">
        <v>9</v>
      </c>
      <c r="B15" s="39" t="s">
        <v>122</v>
      </c>
      <c r="C15" s="20" t="s">
        <v>300</v>
      </c>
      <c r="D15" s="23">
        <v>11</v>
      </c>
      <c r="E15" s="23">
        <v>4</v>
      </c>
      <c r="F15" s="23" t="s">
        <v>77</v>
      </c>
      <c r="G15" s="19" t="s">
        <v>224</v>
      </c>
      <c r="H15" s="23" t="s">
        <v>11</v>
      </c>
      <c r="I15" s="21" t="s">
        <v>125</v>
      </c>
      <c r="J15" s="35"/>
    </row>
    <row r="16" spans="1:10" s="1" customFormat="1" ht="72" x14ac:dyDescent="0.25">
      <c r="A16" s="76">
        <v>10</v>
      </c>
      <c r="B16" s="39" t="s">
        <v>340</v>
      </c>
      <c r="C16" s="72" t="s">
        <v>300</v>
      </c>
      <c r="D16" s="23">
        <v>13</v>
      </c>
      <c r="E16" s="23">
        <v>2</v>
      </c>
      <c r="F16" s="23" t="s">
        <v>77</v>
      </c>
      <c r="G16" s="19" t="s">
        <v>343</v>
      </c>
      <c r="H16" s="23" t="s">
        <v>11</v>
      </c>
      <c r="I16" s="77" t="s">
        <v>125</v>
      </c>
      <c r="J16" s="35"/>
    </row>
    <row r="17" spans="1:10" s="1" customFormat="1" ht="192" x14ac:dyDescent="0.25">
      <c r="A17" s="36">
        <v>11</v>
      </c>
      <c r="B17" s="40" t="s">
        <v>338</v>
      </c>
      <c r="C17" s="20" t="s">
        <v>300</v>
      </c>
      <c r="D17" s="37">
        <v>14</v>
      </c>
      <c r="E17" s="37">
        <v>2</v>
      </c>
      <c r="F17" s="37" t="s">
        <v>77</v>
      </c>
      <c r="G17" s="62" t="s">
        <v>602</v>
      </c>
      <c r="H17" s="37" t="s">
        <v>11</v>
      </c>
      <c r="I17" s="37" t="s">
        <v>125</v>
      </c>
      <c r="J17" s="38"/>
    </row>
    <row r="18" spans="1:10" s="1" customFormat="1" ht="120" x14ac:dyDescent="0.25">
      <c r="A18" s="32">
        <v>12</v>
      </c>
      <c r="B18" s="41" t="s">
        <v>339</v>
      </c>
      <c r="C18" s="20" t="s">
        <v>300</v>
      </c>
      <c r="D18" s="37">
        <v>15</v>
      </c>
      <c r="E18" s="37">
        <v>2</v>
      </c>
      <c r="F18" s="37" t="s">
        <v>77</v>
      </c>
      <c r="G18" s="62" t="s">
        <v>603</v>
      </c>
      <c r="H18" s="37" t="s">
        <v>11</v>
      </c>
      <c r="I18" s="37" t="s">
        <v>125</v>
      </c>
      <c r="J18" s="38"/>
    </row>
    <row r="19" spans="1:10" s="1" customFormat="1" x14ac:dyDescent="0.25">
      <c r="A19" s="93">
        <v>13</v>
      </c>
      <c r="B19" s="41" t="s">
        <v>604</v>
      </c>
      <c r="C19" s="94" t="s">
        <v>300</v>
      </c>
      <c r="D19" s="37">
        <v>16</v>
      </c>
      <c r="E19" s="37">
        <v>2</v>
      </c>
      <c r="F19" s="37" t="s">
        <v>77</v>
      </c>
      <c r="G19" s="55" t="s">
        <v>605</v>
      </c>
      <c r="H19" s="37" t="s">
        <v>11</v>
      </c>
      <c r="I19" s="37" t="s">
        <v>125</v>
      </c>
      <c r="J19" s="38"/>
    </row>
    <row r="20" spans="1:10" s="1" customFormat="1" x14ac:dyDescent="0.25">
      <c r="A20" s="93">
        <v>14</v>
      </c>
      <c r="B20" s="41" t="s">
        <v>606</v>
      </c>
      <c r="C20" s="94" t="s">
        <v>300</v>
      </c>
      <c r="D20" s="37">
        <v>17</v>
      </c>
      <c r="E20" s="37">
        <v>2</v>
      </c>
      <c r="F20" s="37" t="s">
        <v>77</v>
      </c>
      <c r="G20" s="55" t="s">
        <v>605</v>
      </c>
      <c r="H20" s="37" t="s">
        <v>11</v>
      </c>
      <c r="I20" s="37" t="s">
        <v>125</v>
      </c>
      <c r="J20" s="38"/>
    </row>
    <row r="21" spans="1:10" s="1" customFormat="1" x14ac:dyDescent="0.25">
      <c r="A21" s="36"/>
      <c r="B21" s="39"/>
      <c r="C21" s="39"/>
      <c r="D21" s="23"/>
      <c r="E21" s="23"/>
      <c r="F21" s="23"/>
      <c r="G21" s="19"/>
      <c r="H21" s="23"/>
      <c r="I21" s="21"/>
      <c r="J21" s="35"/>
    </row>
    <row r="22" spans="1:10" s="1" customFormat="1" x14ac:dyDescent="0.25">
      <c r="A22" s="138" t="s">
        <v>233</v>
      </c>
      <c r="B22" s="139"/>
      <c r="C22" s="139"/>
      <c r="D22" s="139"/>
      <c r="E22" s="139"/>
      <c r="F22" s="139"/>
      <c r="G22" s="139"/>
      <c r="H22" s="139"/>
      <c r="I22" s="139"/>
      <c r="J22" s="140"/>
    </row>
    <row r="23" spans="1:10" s="1" customFormat="1" ht="192" x14ac:dyDescent="0.25">
      <c r="A23" s="42">
        <v>1</v>
      </c>
      <c r="B23" s="43" t="s">
        <v>14</v>
      </c>
      <c r="C23" s="20" t="s">
        <v>300</v>
      </c>
      <c r="D23" s="44">
        <v>256</v>
      </c>
      <c r="E23" s="44">
        <v>2</v>
      </c>
      <c r="F23" s="44" t="s">
        <v>15</v>
      </c>
      <c r="G23" s="6" t="s">
        <v>344</v>
      </c>
      <c r="H23" s="44" t="s">
        <v>11</v>
      </c>
      <c r="I23" s="44" t="s">
        <v>135</v>
      </c>
      <c r="J23" s="45" t="s">
        <v>346</v>
      </c>
    </row>
    <row r="24" spans="1:10" s="1" customFormat="1" x14ac:dyDescent="0.25">
      <c r="A24" s="42">
        <v>2</v>
      </c>
      <c r="B24" s="43" t="s">
        <v>16</v>
      </c>
      <c r="C24" s="20" t="s">
        <v>300</v>
      </c>
      <c r="D24" s="44">
        <f>D23+1</f>
        <v>257</v>
      </c>
      <c r="E24" s="44">
        <v>2</v>
      </c>
      <c r="F24" s="44" t="s">
        <v>15</v>
      </c>
      <c r="G24" s="6" t="s">
        <v>102</v>
      </c>
      <c r="H24" s="44" t="s">
        <v>11</v>
      </c>
      <c r="I24" s="44" t="s">
        <v>135</v>
      </c>
      <c r="J24" s="45"/>
    </row>
    <row r="25" spans="1:10" s="1" customFormat="1" x14ac:dyDescent="0.25">
      <c r="A25" s="42" t="s">
        <v>226</v>
      </c>
      <c r="B25" s="43" t="s">
        <v>226</v>
      </c>
      <c r="C25" s="44" t="s">
        <v>181</v>
      </c>
      <c r="D25" s="44" t="s">
        <v>226</v>
      </c>
      <c r="E25" s="44" t="s">
        <v>226</v>
      </c>
      <c r="F25" s="44" t="s">
        <v>226</v>
      </c>
      <c r="G25" s="6" t="s">
        <v>181</v>
      </c>
      <c r="H25" s="44" t="s">
        <v>226</v>
      </c>
      <c r="I25" s="44" t="s">
        <v>181</v>
      </c>
      <c r="J25" s="45"/>
    </row>
    <row r="26" spans="1:10" s="1" customFormat="1" x14ac:dyDescent="0.25">
      <c r="A26" s="42">
        <f>F2-1</f>
        <v>13</v>
      </c>
      <c r="B26" s="43" t="s">
        <v>227</v>
      </c>
      <c r="C26" s="20" t="s">
        <v>300</v>
      </c>
      <c r="D26" s="44">
        <f>D27-1</f>
        <v>268</v>
      </c>
      <c r="E26" s="44">
        <v>2</v>
      </c>
      <c r="F26" s="44" t="s">
        <v>15</v>
      </c>
      <c r="G26" s="6" t="s">
        <v>102</v>
      </c>
      <c r="H26" s="44" t="s">
        <v>11</v>
      </c>
      <c r="I26" s="44" t="s">
        <v>135</v>
      </c>
      <c r="J26" s="45"/>
    </row>
    <row r="27" spans="1:10" s="1" customFormat="1" x14ac:dyDescent="0.25">
      <c r="A27" s="42">
        <f>F2</f>
        <v>14</v>
      </c>
      <c r="B27" s="43" t="s">
        <v>228</v>
      </c>
      <c r="C27" s="20" t="s">
        <v>300</v>
      </c>
      <c r="D27" s="44">
        <f>D23+F2-1</f>
        <v>269</v>
      </c>
      <c r="E27" s="44">
        <v>2</v>
      </c>
      <c r="F27" s="44" t="s">
        <v>15</v>
      </c>
      <c r="G27" s="6" t="s">
        <v>102</v>
      </c>
      <c r="H27" s="44" t="s">
        <v>11</v>
      </c>
      <c r="I27" s="44" t="s">
        <v>135</v>
      </c>
      <c r="J27" s="45"/>
    </row>
    <row r="28" spans="1:10" s="1" customFormat="1" x14ac:dyDescent="0.25">
      <c r="A28" s="42"/>
      <c r="B28" s="7"/>
      <c r="C28" s="7"/>
      <c r="D28" s="7"/>
      <c r="E28" s="7"/>
      <c r="F28" s="7"/>
      <c r="G28" s="7"/>
      <c r="H28" s="7"/>
      <c r="I28" s="7"/>
      <c r="J28" s="45"/>
    </row>
    <row r="29" spans="1:10" s="1" customFormat="1" x14ac:dyDescent="0.25">
      <c r="A29" s="112" t="s">
        <v>235</v>
      </c>
      <c r="B29" s="113"/>
      <c r="C29" s="113"/>
      <c r="D29" s="113"/>
      <c r="E29" s="113"/>
      <c r="F29" s="113"/>
      <c r="G29" s="113"/>
      <c r="H29" s="113"/>
      <c r="I29" s="113"/>
      <c r="J29" s="114"/>
    </row>
    <row r="30" spans="1:10" s="1" customFormat="1" ht="84" x14ac:dyDescent="0.25">
      <c r="A30" s="42">
        <v>1</v>
      </c>
      <c r="B30" s="43" t="s">
        <v>17</v>
      </c>
      <c r="C30" s="43" t="s">
        <v>300</v>
      </c>
      <c r="D30" s="28">
        <f>D27+1</f>
        <v>270</v>
      </c>
      <c r="E30" s="44">
        <v>2</v>
      </c>
      <c r="F30" s="44" t="s">
        <v>15</v>
      </c>
      <c r="G30" s="6" t="s">
        <v>345</v>
      </c>
      <c r="H30" s="44" t="s">
        <v>11</v>
      </c>
      <c r="I30" s="44" t="s">
        <v>125</v>
      </c>
      <c r="J30" s="45"/>
    </row>
    <row r="31" spans="1:10" s="1" customFormat="1" x14ac:dyDescent="0.25">
      <c r="A31" s="42">
        <v>2</v>
      </c>
      <c r="B31" s="43" t="s">
        <v>18</v>
      </c>
      <c r="C31" s="43" t="s">
        <v>300</v>
      </c>
      <c r="D31" s="28">
        <f>D30+1</f>
        <v>271</v>
      </c>
      <c r="E31" s="44">
        <v>2</v>
      </c>
      <c r="F31" s="44" t="s">
        <v>15</v>
      </c>
      <c r="G31" s="6" t="s">
        <v>102</v>
      </c>
      <c r="H31" s="44" t="s">
        <v>11</v>
      </c>
      <c r="I31" s="44" t="s">
        <v>125</v>
      </c>
      <c r="J31" s="45"/>
    </row>
    <row r="32" spans="1:10" s="1" customFormat="1" x14ac:dyDescent="0.25">
      <c r="A32" s="42" t="s">
        <v>226</v>
      </c>
      <c r="B32" s="43" t="s">
        <v>226</v>
      </c>
      <c r="C32" s="6" t="s">
        <v>181</v>
      </c>
      <c r="D32" s="44" t="s">
        <v>226</v>
      </c>
      <c r="E32" s="44" t="s">
        <v>226</v>
      </c>
      <c r="F32" s="44" t="s">
        <v>226</v>
      </c>
      <c r="G32" s="6" t="s">
        <v>181</v>
      </c>
      <c r="H32" s="44" t="s">
        <v>226</v>
      </c>
      <c r="I32" s="44" t="s">
        <v>181</v>
      </c>
      <c r="J32" s="45"/>
    </row>
    <row r="33" spans="1:10" s="1" customFormat="1" x14ac:dyDescent="0.25">
      <c r="A33" s="42">
        <f>F2-1</f>
        <v>13</v>
      </c>
      <c r="B33" s="43" t="s">
        <v>234</v>
      </c>
      <c r="C33" s="43" t="s">
        <v>300</v>
      </c>
      <c r="D33" s="28">
        <f>D34-1</f>
        <v>282</v>
      </c>
      <c r="E33" s="44">
        <v>2</v>
      </c>
      <c r="F33" s="44" t="s">
        <v>15</v>
      </c>
      <c r="G33" s="6" t="s">
        <v>102</v>
      </c>
      <c r="H33" s="44" t="s">
        <v>11</v>
      </c>
      <c r="I33" s="44" t="s">
        <v>125</v>
      </c>
      <c r="J33" s="45"/>
    </row>
    <row r="34" spans="1:10" s="1" customFormat="1" x14ac:dyDescent="0.25">
      <c r="A34" s="42">
        <f>F2</f>
        <v>14</v>
      </c>
      <c r="B34" s="43" t="s">
        <v>242</v>
      </c>
      <c r="C34" s="43" t="s">
        <v>300</v>
      </c>
      <c r="D34" s="28">
        <f>D30+F2-1</f>
        <v>283</v>
      </c>
      <c r="E34" s="44">
        <v>2</v>
      </c>
      <c r="F34" s="44" t="s">
        <v>15</v>
      </c>
      <c r="G34" s="6" t="s">
        <v>102</v>
      </c>
      <c r="H34" s="44" t="s">
        <v>11</v>
      </c>
      <c r="I34" s="44" t="s">
        <v>125</v>
      </c>
      <c r="J34" s="45"/>
    </row>
    <row r="35" spans="1:10" s="1" customFormat="1" x14ac:dyDescent="0.25">
      <c r="A35" s="42"/>
      <c r="B35" s="7"/>
      <c r="C35" s="7"/>
      <c r="D35" s="7"/>
      <c r="E35" s="7"/>
      <c r="F35" s="7"/>
      <c r="G35" s="7"/>
      <c r="H35" s="7"/>
      <c r="I35" s="7"/>
      <c r="J35" s="45"/>
    </row>
    <row r="36" spans="1:10" s="1" customFormat="1" x14ac:dyDescent="0.25">
      <c r="A36" s="112" t="s">
        <v>236</v>
      </c>
      <c r="B36" s="113"/>
      <c r="C36" s="113"/>
      <c r="D36" s="113"/>
      <c r="E36" s="113"/>
      <c r="F36" s="113"/>
      <c r="G36" s="113"/>
      <c r="H36" s="113"/>
      <c r="I36" s="113"/>
      <c r="J36" s="114"/>
    </row>
    <row r="37" spans="1:10" s="1" customFormat="1" ht="36" x14ac:dyDescent="0.25">
      <c r="A37" s="46">
        <v>1</v>
      </c>
      <c r="B37" s="7" t="s">
        <v>347</v>
      </c>
      <c r="C37" s="43" t="s">
        <v>300</v>
      </c>
      <c r="D37" s="28">
        <f>D34+1</f>
        <v>284</v>
      </c>
      <c r="E37" s="25">
        <v>2</v>
      </c>
      <c r="F37" s="44" t="s">
        <v>15</v>
      </c>
      <c r="G37" s="7" t="s">
        <v>138</v>
      </c>
      <c r="H37" s="44" t="s">
        <v>11</v>
      </c>
      <c r="I37" s="44" t="s">
        <v>125</v>
      </c>
      <c r="J37" s="45"/>
    </row>
    <row r="38" spans="1:10" s="1" customFormat="1" x14ac:dyDescent="0.25">
      <c r="A38" s="46">
        <v>2</v>
      </c>
      <c r="B38" s="7" t="s">
        <v>136</v>
      </c>
      <c r="C38" s="43" t="s">
        <v>300</v>
      </c>
      <c r="D38" s="28">
        <f>D37+1</f>
        <v>285</v>
      </c>
      <c r="E38" s="25">
        <v>2</v>
      </c>
      <c r="F38" s="44" t="s">
        <v>15</v>
      </c>
      <c r="G38" s="7" t="s">
        <v>137</v>
      </c>
      <c r="H38" s="44" t="s">
        <v>11</v>
      </c>
      <c r="I38" s="44" t="s">
        <v>125</v>
      </c>
      <c r="J38" s="45"/>
    </row>
    <row r="39" spans="1:10" s="1" customFormat="1" x14ac:dyDescent="0.25">
      <c r="A39" s="42" t="s">
        <v>226</v>
      </c>
      <c r="B39" s="43" t="s">
        <v>226</v>
      </c>
      <c r="C39" s="43"/>
      <c r="D39" s="44" t="s">
        <v>226</v>
      </c>
      <c r="E39" s="44" t="s">
        <v>226</v>
      </c>
      <c r="F39" s="44" t="s">
        <v>226</v>
      </c>
      <c r="G39" s="6" t="s">
        <v>181</v>
      </c>
      <c r="H39" s="44" t="s">
        <v>226</v>
      </c>
      <c r="I39" s="44" t="s">
        <v>181</v>
      </c>
      <c r="J39" s="45"/>
    </row>
    <row r="40" spans="1:10" s="1" customFormat="1" x14ac:dyDescent="0.25">
      <c r="A40" s="46">
        <f>F2-1</f>
        <v>13</v>
      </c>
      <c r="B40" s="7" t="s">
        <v>237</v>
      </c>
      <c r="C40" s="43" t="s">
        <v>300</v>
      </c>
      <c r="D40" s="28">
        <f>D41-1</f>
        <v>296</v>
      </c>
      <c r="E40" s="25">
        <v>2</v>
      </c>
      <c r="F40" s="44" t="s">
        <v>15</v>
      </c>
      <c r="G40" s="7" t="s">
        <v>137</v>
      </c>
      <c r="H40" s="44" t="s">
        <v>11</v>
      </c>
      <c r="I40" s="44" t="s">
        <v>125</v>
      </c>
      <c r="J40" s="45"/>
    </row>
    <row r="41" spans="1:10" s="1" customFormat="1" x14ac:dyDescent="0.25">
      <c r="A41" s="46">
        <f>F2</f>
        <v>14</v>
      </c>
      <c r="B41" s="7" t="s">
        <v>241</v>
      </c>
      <c r="C41" s="43" t="s">
        <v>300</v>
      </c>
      <c r="D41" s="28">
        <f>D37+F2-1</f>
        <v>297</v>
      </c>
      <c r="E41" s="25">
        <v>2</v>
      </c>
      <c r="F41" s="44" t="s">
        <v>15</v>
      </c>
      <c r="G41" s="7" t="s">
        <v>137</v>
      </c>
      <c r="H41" s="44" t="s">
        <v>11</v>
      </c>
      <c r="I41" s="44" t="s">
        <v>125</v>
      </c>
      <c r="J41" s="45"/>
    </row>
    <row r="42" spans="1:10" s="1" customFormat="1" x14ac:dyDescent="0.25">
      <c r="A42" s="46"/>
      <c r="B42" s="7"/>
      <c r="C42" s="43"/>
      <c r="D42" s="28"/>
      <c r="E42" s="25"/>
      <c r="F42" s="44"/>
      <c r="G42" s="7"/>
      <c r="H42" s="44"/>
      <c r="I42" s="44"/>
      <c r="J42" s="45"/>
    </row>
    <row r="43" spans="1:10" s="1" customFormat="1" x14ac:dyDescent="0.25">
      <c r="A43" s="112" t="s">
        <v>634</v>
      </c>
      <c r="B43" s="113"/>
      <c r="C43" s="113"/>
      <c r="D43" s="113"/>
      <c r="E43" s="113"/>
      <c r="F43" s="113"/>
      <c r="G43" s="113"/>
      <c r="H43" s="113"/>
      <c r="I43" s="113"/>
      <c r="J43" s="114"/>
    </row>
    <row r="44" spans="1:10" s="1" customFormat="1" ht="84" x14ac:dyDescent="0.25">
      <c r="A44" s="61">
        <v>1</v>
      </c>
      <c r="B44" s="62" t="s">
        <v>333</v>
      </c>
      <c r="C44" s="63" t="s">
        <v>300</v>
      </c>
      <c r="D44" s="64">
        <f>D41+1</f>
        <v>298</v>
      </c>
      <c r="E44" s="65">
        <v>2</v>
      </c>
      <c r="F44" s="66" t="s">
        <v>15</v>
      </c>
      <c r="G44" s="62" t="s">
        <v>337</v>
      </c>
      <c r="H44" s="66" t="s">
        <v>11</v>
      </c>
      <c r="I44" s="66" t="s">
        <v>125</v>
      </c>
      <c r="J44" s="67"/>
    </row>
    <row r="45" spans="1:10" s="1" customFormat="1" x14ac:dyDescent="0.25">
      <c r="A45" s="61">
        <v>2</v>
      </c>
      <c r="B45" s="62" t="s">
        <v>334</v>
      </c>
      <c r="C45" s="63" t="s">
        <v>300</v>
      </c>
      <c r="D45" s="64">
        <f>D44+1</f>
        <v>299</v>
      </c>
      <c r="E45" s="65">
        <v>2</v>
      </c>
      <c r="F45" s="66" t="s">
        <v>15</v>
      </c>
      <c r="G45" s="62" t="s">
        <v>102</v>
      </c>
      <c r="H45" s="66" t="s">
        <v>11</v>
      </c>
      <c r="I45" s="66" t="s">
        <v>125</v>
      </c>
      <c r="J45" s="67"/>
    </row>
    <row r="46" spans="1:10" s="1" customFormat="1" x14ac:dyDescent="0.25">
      <c r="A46" s="68" t="s">
        <v>181</v>
      </c>
      <c r="B46" s="63" t="s">
        <v>181</v>
      </c>
      <c r="C46" s="63"/>
      <c r="D46" s="66" t="s">
        <v>181</v>
      </c>
      <c r="E46" s="66" t="s">
        <v>181</v>
      </c>
      <c r="F46" s="66" t="s">
        <v>181</v>
      </c>
      <c r="G46" s="69" t="s">
        <v>181</v>
      </c>
      <c r="H46" s="66" t="s">
        <v>181</v>
      </c>
      <c r="I46" s="66" t="s">
        <v>181</v>
      </c>
      <c r="J46" s="67"/>
    </row>
    <row r="47" spans="1:10" s="1" customFormat="1" x14ac:dyDescent="0.25">
      <c r="A47" s="61">
        <f>F2-1</f>
        <v>13</v>
      </c>
      <c r="B47" s="62" t="s">
        <v>335</v>
      </c>
      <c r="C47" s="63" t="s">
        <v>300</v>
      </c>
      <c r="D47" s="64">
        <f>D48-1</f>
        <v>310</v>
      </c>
      <c r="E47" s="65">
        <v>2</v>
      </c>
      <c r="F47" s="66" t="s">
        <v>15</v>
      </c>
      <c r="G47" s="62" t="s">
        <v>102</v>
      </c>
      <c r="H47" s="66" t="s">
        <v>11</v>
      </c>
      <c r="I47" s="66" t="s">
        <v>125</v>
      </c>
      <c r="J47" s="67"/>
    </row>
    <row r="48" spans="1:10" s="1" customFormat="1" x14ac:dyDescent="0.25">
      <c r="A48" s="61">
        <f>F2</f>
        <v>14</v>
      </c>
      <c r="B48" s="62" t="s">
        <v>336</v>
      </c>
      <c r="C48" s="63" t="s">
        <v>300</v>
      </c>
      <c r="D48" s="64">
        <f>D44+F2-1</f>
        <v>311</v>
      </c>
      <c r="E48" s="65">
        <v>2</v>
      </c>
      <c r="F48" s="66" t="s">
        <v>15</v>
      </c>
      <c r="G48" s="62" t="s">
        <v>102</v>
      </c>
      <c r="H48" s="66" t="s">
        <v>11</v>
      </c>
      <c r="I48" s="66" t="s">
        <v>125</v>
      </c>
      <c r="J48" s="67"/>
    </row>
    <row r="49" spans="1:10" s="1" customFormat="1" x14ac:dyDescent="0.25">
      <c r="A49" s="46"/>
      <c r="B49" s="7"/>
      <c r="C49" s="7"/>
      <c r="D49" s="25"/>
      <c r="E49" s="25"/>
      <c r="F49" s="25"/>
      <c r="G49" s="7"/>
      <c r="H49" s="25"/>
      <c r="I49" s="25"/>
      <c r="J49" s="45"/>
    </row>
    <row r="50" spans="1:10" s="1" customFormat="1" x14ac:dyDescent="0.25">
      <c r="A50" s="141" t="s">
        <v>139</v>
      </c>
      <c r="B50" s="142"/>
      <c r="C50" s="142"/>
      <c r="D50" s="142"/>
      <c r="E50" s="142"/>
      <c r="F50" s="142"/>
      <c r="G50" s="142"/>
      <c r="H50" s="142"/>
      <c r="I50" s="142"/>
      <c r="J50" s="143"/>
    </row>
    <row r="51" spans="1:10" s="1" customFormat="1" x14ac:dyDescent="0.25">
      <c r="A51" s="46">
        <v>1</v>
      </c>
      <c r="B51" s="47" t="s">
        <v>33</v>
      </c>
      <c r="C51" s="43" t="s">
        <v>300</v>
      </c>
      <c r="D51" s="25">
        <v>1024</v>
      </c>
      <c r="E51" s="25">
        <v>2</v>
      </c>
      <c r="F51" s="25" t="s">
        <v>9</v>
      </c>
      <c r="G51" s="24" t="s">
        <v>140</v>
      </c>
      <c r="H51" s="25" t="s">
        <v>11</v>
      </c>
      <c r="I51" s="25" t="s">
        <v>135</v>
      </c>
      <c r="J51" s="45" t="s">
        <v>141</v>
      </c>
    </row>
    <row r="52" spans="1:10" s="1" customFormat="1" x14ac:dyDescent="0.25">
      <c r="A52" s="46">
        <v>2</v>
      </c>
      <c r="B52" s="47" t="s">
        <v>34</v>
      </c>
      <c r="C52" s="43" t="s">
        <v>300</v>
      </c>
      <c r="D52" s="25">
        <v>1025</v>
      </c>
      <c r="E52" s="25">
        <v>2</v>
      </c>
      <c r="F52" s="25" t="s">
        <v>9</v>
      </c>
      <c r="G52" s="24" t="s">
        <v>140</v>
      </c>
      <c r="H52" s="25" t="s">
        <v>11</v>
      </c>
      <c r="I52" s="25" t="s">
        <v>135</v>
      </c>
      <c r="J52" s="45"/>
    </row>
    <row r="53" spans="1:10" s="1" customFormat="1" x14ac:dyDescent="0.25">
      <c r="A53" s="46">
        <v>3</v>
      </c>
      <c r="B53" s="6" t="s">
        <v>35</v>
      </c>
      <c r="C53" s="43" t="s">
        <v>299</v>
      </c>
      <c r="D53" s="25">
        <v>1026</v>
      </c>
      <c r="E53" s="44">
        <v>2</v>
      </c>
      <c r="F53" s="25" t="s">
        <v>516</v>
      </c>
      <c r="G53" s="6" t="s">
        <v>518</v>
      </c>
      <c r="H53" s="44" t="s">
        <v>11</v>
      </c>
      <c r="I53" s="25" t="s">
        <v>135</v>
      </c>
      <c r="J53" s="45"/>
    </row>
    <row r="54" spans="1:10" s="1" customFormat="1" x14ac:dyDescent="0.25">
      <c r="A54" s="46">
        <v>4</v>
      </c>
      <c r="B54" s="7" t="s">
        <v>142</v>
      </c>
      <c r="C54" s="43" t="s">
        <v>299</v>
      </c>
      <c r="D54" s="25">
        <v>1027</v>
      </c>
      <c r="E54" s="25">
        <v>4</v>
      </c>
      <c r="F54" s="25" t="s">
        <v>9</v>
      </c>
      <c r="G54" s="7" t="s">
        <v>521</v>
      </c>
      <c r="H54" s="44" t="s">
        <v>11</v>
      </c>
      <c r="I54" s="25" t="s">
        <v>135</v>
      </c>
      <c r="J54" s="45"/>
    </row>
    <row r="55" spans="1:10" s="1" customFormat="1" x14ac:dyDescent="0.25">
      <c r="A55" s="46">
        <v>5</v>
      </c>
      <c r="B55" s="7" t="s">
        <v>36</v>
      </c>
      <c r="C55" s="43" t="s">
        <v>299</v>
      </c>
      <c r="D55" s="25">
        <v>1029</v>
      </c>
      <c r="E55" s="25">
        <v>4</v>
      </c>
      <c r="F55" s="25" t="s">
        <v>9</v>
      </c>
      <c r="G55" s="7" t="s">
        <v>521</v>
      </c>
      <c r="H55" s="25" t="s">
        <v>11</v>
      </c>
      <c r="I55" s="25" t="s">
        <v>135</v>
      </c>
      <c r="J55" s="45"/>
    </row>
    <row r="56" spans="1:10" s="1" customFormat="1" x14ac:dyDescent="0.25">
      <c r="A56" s="46">
        <v>6</v>
      </c>
      <c r="B56" s="7" t="s">
        <v>37</v>
      </c>
      <c r="C56" s="43" t="s">
        <v>299</v>
      </c>
      <c r="D56" s="25">
        <v>1031</v>
      </c>
      <c r="E56" s="25">
        <v>4</v>
      </c>
      <c r="F56" s="25" t="s">
        <v>9</v>
      </c>
      <c r="G56" s="7" t="s">
        <v>521</v>
      </c>
      <c r="H56" s="25" t="s">
        <v>11</v>
      </c>
      <c r="I56" s="25" t="s">
        <v>135</v>
      </c>
      <c r="J56" s="45"/>
    </row>
    <row r="57" spans="1:10" s="1" customFormat="1" x14ac:dyDescent="0.25">
      <c r="A57" s="46">
        <v>7</v>
      </c>
      <c r="B57" s="7" t="s">
        <v>143</v>
      </c>
      <c r="C57" s="43" t="s">
        <v>299</v>
      </c>
      <c r="D57" s="25">
        <v>1033</v>
      </c>
      <c r="E57" s="25">
        <v>4</v>
      </c>
      <c r="F57" s="25" t="s">
        <v>9</v>
      </c>
      <c r="G57" s="7" t="s">
        <v>521</v>
      </c>
      <c r="H57" s="25" t="s">
        <v>11</v>
      </c>
      <c r="I57" s="25" t="s">
        <v>135</v>
      </c>
      <c r="J57" s="45"/>
    </row>
    <row r="58" spans="1:10" s="1" customFormat="1" x14ac:dyDescent="0.25">
      <c r="A58" s="46">
        <v>8</v>
      </c>
      <c r="B58" s="7" t="s">
        <v>144</v>
      </c>
      <c r="C58" s="43" t="s">
        <v>299</v>
      </c>
      <c r="D58" s="25">
        <v>1035</v>
      </c>
      <c r="E58" s="25">
        <v>4</v>
      </c>
      <c r="F58" s="25" t="s">
        <v>9</v>
      </c>
      <c r="G58" s="7" t="s">
        <v>521</v>
      </c>
      <c r="H58" s="25" t="s">
        <v>11</v>
      </c>
      <c r="I58" s="25" t="s">
        <v>135</v>
      </c>
      <c r="J58" s="45"/>
    </row>
    <row r="59" spans="1:10" s="1" customFormat="1" x14ac:dyDescent="0.25">
      <c r="A59" s="46">
        <v>9</v>
      </c>
      <c r="B59" s="7" t="s">
        <v>218</v>
      </c>
      <c r="C59" s="43" t="s">
        <v>299</v>
      </c>
      <c r="D59" s="25">
        <v>1037</v>
      </c>
      <c r="E59" s="25">
        <v>4</v>
      </c>
      <c r="F59" s="25" t="s">
        <v>9</v>
      </c>
      <c r="G59" s="7" t="s">
        <v>522</v>
      </c>
      <c r="H59" s="25" t="s">
        <v>11</v>
      </c>
      <c r="I59" s="25" t="s">
        <v>125</v>
      </c>
      <c r="J59" s="45"/>
    </row>
    <row r="60" spans="1:10" s="1" customFormat="1" x14ac:dyDescent="0.25">
      <c r="A60" s="46">
        <v>10</v>
      </c>
      <c r="B60" s="7" t="s">
        <v>145</v>
      </c>
      <c r="C60" s="43" t="s">
        <v>299</v>
      </c>
      <c r="D60" s="25">
        <v>1039</v>
      </c>
      <c r="E60" s="25">
        <v>4</v>
      </c>
      <c r="F60" s="25" t="s">
        <v>9</v>
      </c>
      <c r="G60" s="7" t="s">
        <v>522</v>
      </c>
      <c r="H60" s="25" t="s">
        <v>11</v>
      </c>
      <c r="I60" s="25" t="s">
        <v>135</v>
      </c>
      <c r="J60" s="45"/>
    </row>
    <row r="61" spans="1:10" s="1" customFormat="1" x14ac:dyDescent="0.25">
      <c r="A61" s="46">
        <v>11</v>
      </c>
      <c r="B61" s="7" t="s">
        <v>146</v>
      </c>
      <c r="C61" s="43" t="s">
        <v>299</v>
      </c>
      <c r="D61" s="25">
        <v>1041</v>
      </c>
      <c r="E61" s="25">
        <v>4</v>
      </c>
      <c r="F61" s="25" t="s">
        <v>9</v>
      </c>
      <c r="G61" s="7" t="s">
        <v>522</v>
      </c>
      <c r="H61" s="25" t="s">
        <v>11</v>
      </c>
      <c r="I61" s="25" t="s">
        <v>135</v>
      </c>
      <c r="J61" s="45"/>
    </row>
    <row r="62" spans="1:10" s="1" customFormat="1" x14ac:dyDescent="0.25">
      <c r="A62" s="46">
        <v>12</v>
      </c>
      <c r="B62" s="7" t="s">
        <v>147</v>
      </c>
      <c r="C62" s="43" t="s">
        <v>299</v>
      </c>
      <c r="D62" s="25">
        <v>1043</v>
      </c>
      <c r="E62" s="25">
        <v>4</v>
      </c>
      <c r="F62" s="25" t="s">
        <v>9</v>
      </c>
      <c r="G62" s="7" t="s">
        <v>522</v>
      </c>
      <c r="H62" s="25" t="s">
        <v>11</v>
      </c>
      <c r="I62" s="25" t="s">
        <v>135</v>
      </c>
      <c r="J62" s="45"/>
    </row>
    <row r="63" spans="1:10" s="1" customFormat="1" x14ac:dyDescent="0.25">
      <c r="A63" s="46">
        <v>13</v>
      </c>
      <c r="B63" s="7" t="s">
        <v>148</v>
      </c>
      <c r="C63" s="43" t="s">
        <v>299</v>
      </c>
      <c r="D63" s="25">
        <v>1045</v>
      </c>
      <c r="E63" s="25">
        <v>4</v>
      </c>
      <c r="F63" s="25" t="s">
        <v>9</v>
      </c>
      <c r="G63" s="7" t="s">
        <v>522</v>
      </c>
      <c r="H63" s="25" t="s">
        <v>11</v>
      </c>
      <c r="I63" s="25" t="s">
        <v>135</v>
      </c>
      <c r="J63" s="45"/>
    </row>
    <row r="64" spans="1:10" s="1" customFormat="1" x14ac:dyDescent="0.25">
      <c r="A64" s="46">
        <v>14</v>
      </c>
      <c r="B64" s="7" t="s">
        <v>38</v>
      </c>
      <c r="C64" s="43" t="s">
        <v>299</v>
      </c>
      <c r="D64" s="25">
        <v>1047</v>
      </c>
      <c r="E64" s="25">
        <v>4</v>
      </c>
      <c r="F64" s="25" t="s">
        <v>9</v>
      </c>
      <c r="G64" s="7" t="s">
        <v>523</v>
      </c>
      <c r="H64" s="25" t="s">
        <v>11</v>
      </c>
      <c r="I64" s="25" t="s">
        <v>135</v>
      </c>
      <c r="J64" s="45"/>
    </row>
    <row r="65" spans="1:10" s="1" customFormat="1" x14ac:dyDescent="0.25">
      <c r="A65" s="46">
        <v>15</v>
      </c>
      <c r="B65" s="7" t="s">
        <v>39</v>
      </c>
      <c r="C65" s="43" t="s">
        <v>299</v>
      </c>
      <c r="D65" s="25">
        <v>1049</v>
      </c>
      <c r="E65" s="25">
        <v>4</v>
      </c>
      <c r="F65" s="25" t="s">
        <v>9</v>
      </c>
      <c r="G65" s="7" t="s">
        <v>523</v>
      </c>
      <c r="H65" s="25" t="s">
        <v>11</v>
      </c>
      <c r="I65" s="25" t="s">
        <v>135</v>
      </c>
      <c r="J65" s="45"/>
    </row>
    <row r="66" spans="1:10" s="1" customFormat="1" x14ac:dyDescent="0.25">
      <c r="A66" s="46">
        <v>16</v>
      </c>
      <c r="B66" s="7" t="s">
        <v>149</v>
      </c>
      <c r="C66" s="43" t="s">
        <v>299</v>
      </c>
      <c r="D66" s="25">
        <v>1051</v>
      </c>
      <c r="E66" s="25">
        <v>4</v>
      </c>
      <c r="F66" s="25" t="s">
        <v>9</v>
      </c>
      <c r="G66" s="7" t="s">
        <v>523</v>
      </c>
      <c r="H66" s="25" t="s">
        <v>11</v>
      </c>
      <c r="I66" s="25" t="s">
        <v>135</v>
      </c>
      <c r="J66" s="45"/>
    </row>
    <row r="67" spans="1:10" s="1" customFormat="1" x14ac:dyDescent="0.25">
      <c r="A67" s="46">
        <v>17</v>
      </c>
      <c r="B67" s="7" t="s">
        <v>150</v>
      </c>
      <c r="C67" s="43" t="s">
        <v>299</v>
      </c>
      <c r="D67" s="25">
        <v>1053</v>
      </c>
      <c r="E67" s="25">
        <v>4</v>
      </c>
      <c r="F67" s="25" t="s">
        <v>9</v>
      </c>
      <c r="G67" s="7" t="s">
        <v>523</v>
      </c>
      <c r="H67" s="25" t="s">
        <v>11</v>
      </c>
      <c r="I67" s="25" t="s">
        <v>135</v>
      </c>
      <c r="J67" s="45"/>
    </row>
    <row r="68" spans="1:10" s="1" customFormat="1" x14ac:dyDescent="0.25">
      <c r="A68" s="46">
        <v>18</v>
      </c>
      <c r="B68" s="7" t="s">
        <v>40</v>
      </c>
      <c r="C68" s="43" t="s">
        <v>299</v>
      </c>
      <c r="D68" s="25">
        <v>1055</v>
      </c>
      <c r="E68" s="25">
        <v>4</v>
      </c>
      <c r="F68" s="25" t="s">
        <v>9</v>
      </c>
      <c r="G68" s="7" t="s">
        <v>524</v>
      </c>
      <c r="H68" s="25" t="s">
        <v>11</v>
      </c>
      <c r="I68" s="25" t="s">
        <v>135</v>
      </c>
      <c r="J68" s="45"/>
    </row>
    <row r="69" spans="1:10" s="1" customFormat="1" x14ac:dyDescent="0.25">
      <c r="A69" s="46">
        <v>19</v>
      </c>
      <c r="B69" s="7" t="s">
        <v>223</v>
      </c>
      <c r="C69" s="43" t="s">
        <v>299</v>
      </c>
      <c r="D69" s="25">
        <v>1057</v>
      </c>
      <c r="E69" s="25">
        <v>4</v>
      </c>
      <c r="F69" s="25" t="s">
        <v>9</v>
      </c>
      <c r="G69" s="7" t="s">
        <v>524</v>
      </c>
      <c r="H69" s="25" t="s">
        <v>11</v>
      </c>
      <c r="I69" s="25" t="s">
        <v>135</v>
      </c>
      <c r="J69" s="45"/>
    </row>
    <row r="70" spans="1:10" s="1" customFormat="1" x14ac:dyDescent="0.25">
      <c r="A70" s="46">
        <v>20</v>
      </c>
      <c r="B70" s="7" t="s">
        <v>222</v>
      </c>
      <c r="C70" s="43" t="s">
        <v>299</v>
      </c>
      <c r="D70" s="25">
        <v>1059</v>
      </c>
      <c r="E70" s="25">
        <v>4</v>
      </c>
      <c r="F70" s="25" t="s">
        <v>9</v>
      </c>
      <c r="G70" s="7" t="s">
        <v>525</v>
      </c>
      <c r="H70" s="25" t="s">
        <v>11</v>
      </c>
      <c r="I70" s="25" t="s">
        <v>135</v>
      </c>
      <c r="J70" s="45"/>
    </row>
    <row r="71" spans="1:10" s="1" customFormat="1" x14ac:dyDescent="0.25">
      <c r="A71" s="46">
        <v>21</v>
      </c>
      <c r="B71" s="7" t="s">
        <v>221</v>
      </c>
      <c r="C71" s="43" t="s">
        <v>299</v>
      </c>
      <c r="D71" s="25">
        <v>1061</v>
      </c>
      <c r="E71" s="25">
        <v>4</v>
      </c>
      <c r="F71" s="25" t="s">
        <v>9</v>
      </c>
      <c r="G71" s="7" t="s">
        <v>525</v>
      </c>
      <c r="H71" s="25" t="s">
        <v>11</v>
      </c>
      <c r="I71" s="25" t="s">
        <v>135</v>
      </c>
      <c r="J71" s="45"/>
    </row>
    <row r="72" spans="1:10" s="1" customFormat="1" x14ac:dyDescent="0.25">
      <c r="A72" s="46">
        <v>22</v>
      </c>
      <c r="B72" s="7" t="s">
        <v>220</v>
      </c>
      <c r="C72" s="43" t="s">
        <v>299</v>
      </c>
      <c r="D72" s="25">
        <v>1063</v>
      </c>
      <c r="E72" s="25">
        <v>4</v>
      </c>
      <c r="F72" s="25" t="s">
        <v>9</v>
      </c>
      <c r="G72" s="7" t="s">
        <v>525</v>
      </c>
      <c r="H72" s="25" t="s">
        <v>11</v>
      </c>
      <c r="I72" s="25" t="s">
        <v>135</v>
      </c>
      <c r="J72" s="45"/>
    </row>
    <row r="73" spans="1:10" s="1" customFormat="1" x14ac:dyDescent="0.25">
      <c r="A73" s="46">
        <v>23</v>
      </c>
      <c r="B73" s="7" t="s">
        <v>219</v>
      </c>
      <c r="C73" s="43" t="s">
        <v>299</v>
      </c>
      <c r="D73" s="25">
        <v>1065</v>
      </c>
      <c r="E73" s="25">
        <v>4</v>
      </c>
      <c r="F73" s="25" t="s">
        <v>9</v>
      </c>
      <c r="G73" s="7" t="s">
        <v>525</v>
      </c>
      <c r="H73" s="25" t="s">
        <v>11</v>
      </c>
      <c r="I73" s="25" t="s">
        <v>135</v>
      </c>
      <c r="J73" s="45"/>
    </row>
    <row r="74" spans="1:10" s="1" customFormat="1" x14ac:dyDescent="0.25">
      <c r="A74" s="46"/>
      <c r="B74" s="7"/>
      <c r="C74" s="7"/>
      <c r="D74" s="25"/>
      <c r="E74" s="25"/>
      <c r="F74" s="25"/>
      <c r="G74" s="25"/>
      <c r="H74" s="25"/>
      <c r="I74" s="25"/>
      <c r="J74" s="45"/>
    </row>
    <row r="75" spans="1:10" s="1" customFormat="1" x14ac:dyDescent="0.25">
      <c r="A75" s="112" t="s">
        <v>238</v>
      </c>
      <c r="B75" s="113"/>
      <c r="C75" s="113"/>
      <c r="D75" s="113"/>
      <c r="E75" s="113"/>
      <c r="F75" s="113"/>
      <c r="G75" s="113"/>
      <c r="H75" s="113"/>
      <c r="I75" s="113"/>
      <c r="J75" s="114"/>
    </row>
    <row r="76" spans="1:10" s="1" customFormat="1" x14ac:dyDescent="0.25">
      <c r="A76" s="49">
        <v>1</v>
      </c>
      <c r="B76" s="55" t="s">
        <v>373</v>
      </c>
      <c r="C76" s="48" t="s">
        <v>300</v>
      </c>
      <c r="D76" s="28">
        <v>1274</v>
      </c>
      <c r="E76" s="28">
        <v>4</v>
      </c>
      <c r="F76" s="28" t="s">
        <v>77</v>
      </c>
      <c r="G76" s="26" t="s">
        <v>526</v>
      </c>
      <c r="H76" s="28" t="s">
        <v>82</v>
      </c>
      <c r="I76" s="28" t="s">
        <v>125</v>
      </c>
      <c r="J76" s="50" t="s">
        <v>480</v>
      </c>
    </row>
    <row r="77" spans="1:10" s="1" customFormat="1" x14ac:dyDescent="0.25">
      <c r="A77" s="49">
        <v>2</v>
      </c>
      <c r="B77" s="55" t="s">
        <v>478</v>
      </c>
      <c r="C77" s="48" t="s">
        <v>300</v>
      </c>
      <c r="D77" s="28">
        <v>1276</v>
      </c>
      <c r="E77" s="28">
        <v>4</v>
      </c>
      <c r="F77" s="28" t="s">
        <v>77</v>
      </c>
      <c r="G77" s="26" t="s">
        <v>102</v>
      </c>
      <c r="H77" s="28" t="s">
        <v>82</v>
      </c>
      <c r="I77" s="28" t="s">
        <v>125</v>
      </c>
      <c r="J77" s="50"/>
    </row>
    <row r="78" spans="1:10" s="1" customFormat="1" x14ac:dyDescent="0.25">
      <c r="A78" s="49">
        <v>3</v>
      </c>
      <c r="B78" s="55" t="s">
        <v>372</v>
      </c>
      <c r="C78" s="48" t="s">
        <v>300</v>
      </c>
      <c r="D78" s="28">
        <v>1278</v>
      </c>
      <c r="E78" s="28">
        <v>4</v>
      </c>
      <c r="F78" s="28" t="s">
        <v>77</v>
      </c>
      <c r="G78" s="26" t="s">
        <v>102</v>
      </c>
      <c r="H78" s="28" t="s">
        <v>82</v>
      </c>
      <c r="I78" s="28" t="s">
        <v>125</v>
      </c>
      <c r="J78" s="50"/>
    </row>
    <row r="79" spans="1:10" s="1" customFormat="1" x14ac:dyDescent="0.25">
      <c r="A79" s="46">
        <v>4</v>
      </c>
      <c r="B79" s="7" t="s">
        <v>479</v>
      </c>
      <c r="C79" s="43" t="s">
        <v>300</v>
      </c>
      <c r="D79" s="25">
        <v>1280</v>
      </c>
      <c r="E79" s="25">
        <v>4</v>
      </c>
      <c r="F79" s="25" t="s">
        <v>9</v>
      </c>
      <c r="G79" s="7" t="s">
        <v>526</v>
      </c>
      <c r="H79" s="25" t="s">
        <v>11</v>
      </c>
      <c r="I79" s="25" t="s">
        <v>125</v>
      </c>
      <c r="J79" s="45" t="s">
        <v>151</v>
      </c>
    </row>
    <row r="80" spans="1:10" s="1" customFormat="1" x14ac:dyDescent="0.25">
      <c r="A80" s="46">
        <f>A79+1</f>
        <v>5</v>
      </c>
      <c r="B80" s="7" t="s">
        <v>348</v>
      </c>
      <c r="C80" s="43" t="s">
        <v>299</v>
      </c>
      <c r="D80" s="25">
        <v>1282</v>
      </c>
      <c r="E80" s="25">
        <v>4</v>
      </c>
      <c r="F80" s="25" t="s">
        <v>9</v>
      </c>
      <c r="G80" s="7" t="s">
        <v>137</v>
      </c>
      <c r="H80" s="25" t="s">
        <v>11</v>
      </c>
      <c r="I80" s="25" t="s">
        <v>135</v>
      </c>
      <c r="J80" s="45"/>
    </row>
    <row r="81" spans="1:10" s="1" customFormat="1" x14ac:dyDescent="0.25">
      <c r="A81" s="46">
        <f>A79+2</f>
        <v>6</v>
      </c>
      <c r="B81" s="7" t="s">
        <v>349</v>
      </c>
      <c r="C81" s="43" t="s">
        <v>299</v>
      </c>
      <c r="D81" s="25">
        <v>1284</v>
      </c>
      <c r="E81" s="25">
        <v>4</v>
      </c>
      <c r="F81" s="25" t="s">
        <v>9</v>
      </c>
      <c r="G81" s="7" t="s">
        <v>137</v>
      </c>
      <c r="H81" s="25" t="s">
        <v>11</v>
      </c>
      <c r="I81" s="25" t="s">
        <v>135</v>
      </c>
      <c r="J81" s="45"/>
    </row>
    <row r="82" spans="1:10" s="1" customFormat="1" x14ac:dyDescent="0.25">
      <c r="A82" s="42" t="s">
        <v>226</v>
      </c>
      <c r="B82" s="43" t="s">
        <v>226</v>
      </c>
      <c r="C82" s="43"/>
      <c r="D82" s="44" t="s">
        <v>226</v>
      </c>
      <c r="E82" s="44" t="s">
        <v>226</v>
      </c>
      <c r="F82" s="44" t="s">
        <v>226</v>
      </c>
      <c r="G82" s="6" t="s">
        <v>181</v>
      </c>
      <c r="H82" s="44" t="s">
        <v>226</v>
      </c>
      <c r="I82" s="44" t="s">
        <v>181</v>
      </c>
      <c r="J82" s="45"/>
    </row>
    <row r="83" spans="1:10" s="1" customFormat="1" x14ac:dyDescent="0.25">
      <c r="A83" s="46">
        <f>A84-1</f>
        <v>17</v>
      </c>
      <c r="B83" s="7" t="s">
        <v>239</v>
      </c>
      <c r="C83" s="43" t="s">
        <v>299</v>
      </c>
      <c r="D83" s="25">
        <f>D84-2</f>
        <v>1306</v>
      </c>
      <c r="E83" s="25">
        <v>4</v>
      </c>
      <c r="F83" s="25" t="s">
        <v>9</v>
      </c>
      <c r="G83" s="7" t="s">
        <v>137</v>
      </c>
      <c r="H83" s="25" t="s">
        <v>11</v>
      </c>
      <c r="I83" s="25" t="s">
        <v>135</v>
      </c>
      <c r="J83" s="45"/>
    </row>
    <row r="84" spans="1:10" s="1" customFormat="1" x14ac:dyDescent="0.25">
      <c r="A84" s="46">
        <f>A79+F2</f>
        <v>18</v>
      </c>
      <c r="B84" s="7" t="s">
        <v>240</v>
      </c>
      <c r="C84" s="43" t="s">
        <v>299</v>
      </c>
      <c r="D84" s="25">
        <f>D79+F2*2</f>
        <v>1308</v>
      </c>
      <c r="E84" s="25">
        <v>4</v>
      </c>
      <c r="F84" s="25" t="s">
        <v>9</v>
      </c>
      <c r="G84" s="7" t="s">
        <v>137</v>
      </c>
      <c r="H84" s="25" t="s">
        <v>11</v>
      </c>
      <c r="I84" s="25" t="s">
        <v>135</v>
      </c>
      <c r="J84" s="45"/>
    </row>
    <row r="85" spans="1:10" s="1" customFormat="1" x14ac:dyDescent="0.25">
      <c r="A85" s="46"/>
      <c r="B85" s="7"/>
      <c r="C85" s="43"/>
      <c r="D85" s="25"/>
      <c r="E85" s="25"/>
      <c r="F85" s="25"/>
      <c r="G85" s="25"/>
      <c r="H85" s="25"/>
      <c r="I85" s="25"/>
      <c r="J85" s="45"/>
    </row>
    <row r="86" spans="1:10" s="1" customFormat="1" x14ac:dyDescent="0.25">
      <c r="A86" s="112" t="s">
        <v>620</v>
      </c>
      <c r="B86" s="113"/>
      <c r="C86" s="113"/>
      <c r="D86" s="113"/>
      <c r="E86" s="113"/>
      <c r="F86" s="113"/>
      <c r="G86" s="113"/>
      <c r="H86" s="113"/>
      <c r="I86" s="113"/>
      <c r="J86" s="114"/>
    </row>
    <row r="87" spans="1:10" s="1" customFormat="1" x14ac:dyDescent="0.25">
      <c r="A87" s="95">
        <v>1</v>
      </c>
      <c r="B87" s="88" t="s">
        <v>656</v>
      </c>
      <c r="C87" s="91" t="s">
        <v>299</v>
      </c>
      <c r="D87" s="89">
        <v>2304</v>
      </c>
      <c r="E87" s="89">
        <v>2</v>
      </c>
      <c r="F87" s="89" t="s">
        <v>516</v>
      </c>
      <c r="G87" s="88" t="s">
        <v>655</v>
      </c>
      <c r="H87" s="89" t="s">
        <v>11</v>
      </c>
      <c r="I87" s="89" t="s">
        <v>135</v>
      </c>
      <c r="J87" s="90" t="s">
        <v>350</v>
      </c>
    </row>
    <row r="88" spans="1:10" s="1" customFormat="1" x14ac:dyDescent="0.25">
      <c r="A88" s="95">
        <v>2</v>
      </c>
      <c r="B88" s="88" t="s">
        <v>630</v>
      </c>
      <c r="C88" s="91" t="s">
        <v>299</v>
      </c>
      <c r="D88" s="89">
        <v>2305</v>
      </c>
      <c r="E88" s="89">
        <v>2</v>
      </c>
      <c r="F88" s="89" t="s">
        <v>77</v>
      </c>
      <c r="G88" s="88" t="s">
        <v>628</v>
      </c>
      <c r="H88" s="89" t="s">
        <v>11</v>
      </c>
      <c r="I88" s="89" t="s">
        <v>125</v>
      </c>
      <c r="J88" s="90"/>
    </row>
    <row r="89" spans="1:10" s="1" customFormat="1" x14ac:dyDescent="0.25">
      <c r="A89" s="95">
        <v>3</v>
      </c>
      <c r="B89" s="88" t="s">
        <v>625</v>
      </c>
      <c r="C89" s="91" t="s">
        <v>299</v>
      </c>
      <c r="D89" s="89">
        <v>2306</v>
      </c>
      <c r="E89" s="89">
        <v>2</v>
      </c>
      <c r="F89" s="89" t="s">
        <v>9</v>
      </c>
      <c r="G89" s="88" t="s">
        <v>627</v>
      </c>
      <c r="H89" s="89" t="s">
        <v>11</v>
      </c>
      <c r="I89" s="89" t="s">
        <v>125</v>
      </c>
      <c r="J89" s="90"/>
    </row>
    <row r="90" spans="1:10" s="1" customFormat="1" x14ac:dyDescent="0.25">
      <c r="A90" s="95">
        <v>4</v>
      </c>
      <c r="B90" s="88" t="s">
        <v>621</v>
      </c>
      <c r="C90" s="91" t="s">
        <v>299</v>
      </c>
      <c r="D90" s="89">
        <v>2307</v>
      </c>
      <c r="E90" s="89">
        <v>2</v>
      </c>
      <c r="F90" s="89" t="s">
        <v>9</v>
      </c>
      <c r="G90" s="88" t="s">
        <v>626</v>
      </c>
      <c r="H90" s="89" t="s">
        <v>11</v>
      </c>
      <c r="I90" s="89" t="s">
        <v>125</v>
      </c>
      <c r="J90" s="90"/>
    </row>
    <row r="91" spans="1:10" s="1" customFormat="1" x14ac:dyDescent="0.25">
      <c r="A91" s="95">
        <v>5</v>
      </c>
      <c r="B91" s="88" t="s">
        <v>622</v>
      </c>
      <c r="C91" s="91" t="s">
        <v>299</v>
      </c>
      <c r="D91" s="89">
        <v>2308</v>
      </c>
      <c r="E91" s="89">
        <v>2</v>
      </c>
      <c r="F91" s="89" t="s">
        <v>9</v>
      </c>
      <c r="G91" s="88" t="s">
        <v>657</v>
      </c>
      <c r="H91" s="89" t="s">
        <v>11</v>
      </c>
      <c r="I91" s="89" t="s">
        <v>125</v>
      </c>
      <c r="J91" s="90"/>
    </row>
    <row r="92" spans="1:10" s="1" customFormat="1" x14ac:dyDescent="0.25">
      <c r="A92" s="95" t="s">
        <v>226</v>
      </c>
      <c r="B92" s="91" t="s">
        <v>226</v>
      </c>
      <c r="C92" s="91"/>
      <c r="D92" s="89" t="s">
        <v>226</v>
      </c>
      <c r="E92" s="89" t="s">
        <v>226</v>
      </c>
      <c r="F92" s="89" t="s">
        <v>226</v>
      </c>
      <c r="G92" s="88" t="s">
        <v>181</v>
      </c>
      <c r="H92" s="89" t="s">
        <v>226</v>
      </c>
      <c r="I92" s="89" t="s">
        <v>181</v>
      </c>
      <c r="J92" s="90"/>
    </row>
    <row r="93" spans="1:10" s="1" customFormat="1" x14ac:dyDescent="0.25">
      <c r="A93" s="95">
        <f>A94-1</f>
        <v>66</v>
      </c>
      <c r="B93" s="88" t="s">
        <v>658</v>
      </c>
      <c r="C93" s="91" t="s">
        <v>299</v>
      </c>
      <c r="D93" s="89">
        <f>D94-1</f>
        <v>2369</v>
      </c>
      <c r="E93" s="89">
        <v>2</v>
      </c>
      <c r="F93" s="89" t="s">
        <v>516</v>
      </c>
      <c r="G93" s="88" t="s">
        <v>102</v>
      </c>
      <c r="H93" s="89" t="s">
        <v>11</v>
      </c>
      <c r="I93" s="89" t="s">
        <v>125</v>
      </c>
      <c r="J93" s="90"/>
    </row>
    <row r="94" spans="1:10" s="1" customFormat="1" x14ac:dyDescent="0.25">
      <c r="A94" s="95">
        <f>A95-1</f>
        <v>67</v>
      </c>
      <c r="B94" s="88" t="s">
        <v>631</v>
      </c>
      <c r="C94" s="91" t="s">
        <v>299</v>
      </c>
      <c r="D94" s="89">
        <f>D95-1</f>
        <v>2370</v>
      </c>
      <c r="E94" s="89">
        <v>2</v>
      </c>
      <c r="F94" s="89" t="s">
        <v>9</v>
      </c>
      <c r="G94" s="88" t="s">
        <v>102</v>
      </c>
      <c r="H94" s="89" t="s">
        <v>11</v>
      </c>
      <c r="I94" s="89" t="s">
        <v>125</v>
      </c>
      <c r="J94" s="90"/>
    </row>
    <row r="95" spans="1:10" s="1" customFormat="1" x14ac:dyDescent="0.25">
      <c r="A95" s="95">
        <f>A96-1</f>
        <v>68</v>
      </c>
      <c r="B95" s="88" t="s">
        <v>629</v>
      </c>
      <c r="C95" s="91" t="s">
        <v>299</v>
      </c>
      <c r="D95" s="89">
        <f>D96-1</f>
        <v>2371</v>
      </c>
      <c r="E95" s="89">
        <v>2</v>
      </c>
      <c r="F95" s="89" t="s">
        <v>9</v>
      </c>
      <c r="G95" s="88" t="s">
        <v>102</v>
      </c>
      <c r="H95" s="89" t="s">
        <v>11</v>
      </c>
      <c r="I95" s="89" t="s">
        <v>125</v>
      </c>
      <c r="J95" s="90"/>
    </row>
    <row r="96" spans="1:10" s="1" customFormat="1" x14ac:dyDescent="0.25">
      <c r="A96" s="95">
        <f>A97-1</f>
        <v>69</v>
      </c>
      <c r="B96" s="88" t="s">
        <v>623</v>
      </c>
      <c r="C96" s="91" t="s">
        <v>299</v>
      </c>
      <c r="D96" s="89">
        <f>D97-1</f>
        <v>2372</v>
      </c>
      <c r="E96" s="89">
        <v>2</v>
      </c>
      <c r="F96" s="89" t="s">
        <v>9</v>
      </c>
      <c r="G96" s="88" t="s">
        <v>102</v>
      </c>
      <c r="H96" s="89" t="s">
        <v>11</v>
      </c>
      <c r="I96" s="89" t="s">
        <v>125</v>
      </c>
      <c r="J96" s="90"/>
    </row>
    <row r="97" spans="1:10" s="1" customFormat="1" x14ac:dyDescent="0.25">
      <c r="A97" s="95">
        <f>F2*5</f>
        <v>70</v>
      </c>
      <c r="B97" s="88" t="s">
        <v>624</v>
      </c>
      <c r="C97" s="91" t="s">
        <v>299</v>
      </c>
      <c r="D97" s="89">
        <f>D87+F2*5-1</f>
        <v>2373</v>
      </c>
      <c r="E97" s="89">
        <v>2</v>
      </c>
      <c r="F97" s="89" t="s">
        <v>9</v>
      </c>
      <c r="G97" s="88" t="s">
        <v>102</v>
      </c>
      <c r="H97" s="89" t="s">
        <v>11</v>
      </c>
      <c r="I97" s="89" t="s">
        <v>125</v>
      </c>
      <c r="J97" s="90"/>
    </row>
    <row r="98" spans="1:10" s="1" customFormat="1" x14ac:dyDescent="0.25">
      <c r="A98" s="46"/>
      <c r="B98" s="7"/>
      <c r="C98" s="7"/>
      <c r="D98" s="25"/>
      <c r="E98" s="25"/>
      <c r="F98" s="25"/>
      <c r="G98" s="7"/>
      <c r="H98" s="25"/>
      <c r="I98" s="25"/>
      <c r="J98" s="45"/>
    </row>
    <row r="99" spans="1:10" s="1" customFormat="1" x14ac:dyDescent="0.25">
      <c r="A99" s="112" t="s">
        <v>654</v>
      </c>
      <c r="B99" s="113"/>
      <c r="C99" s="113"/>
      <c r="D99" s="113"/>
      <c r="E99" s="113"/>
      <c r="F99" s="113"/>
      <c r="G99" s="113"/>
      <c r="H99" s="113"/>
      <c r="I99" s="113"/>
      <c r="J99" s="114"/>
    </row>
    <row r="100" spans="1:10" s="1" customFormat="1" x14ac:dyDescent="0.25">
      <c r="A100" s="95">
        <v>1</v>
      </c>
      <c r="B100" s="88" t="s">
        <v>632</v>
      </c>
      <c r="C100" s="88" t="s">
        <v>300</v>
      </c>
      <c r="D100" s="89">
        <v>2560</v>
      </c>
      <c r="E100" s="89">
        <v>2</v>
      </c>
      <c r="F100" s="89" t="s">
        <v>77</v>
      </c>
      <c r="G100" s="88" t="s">
        <v>635</v>
      </c>
      <c r="H100" s="89" t="s">
        <v>82</v>
      </c>
      <c r="I100" s="89" t="s">
        <v>125</v>
      </c>
      <c r="J100" s="90" t="s">
        <v>633</v>
      </c>
    </row>
    <row r="101" spans="1:10" s="1" customFormat="1" x14ac:dyDescent="0.25">
      <c r="A101" s="95" t="s">
        <v>181</v>
      </c>
      <c r="B101" s="88" t="s">
        <v>181</v>
      </c>
      <c r="C101" s="88" t="s">
        <v>181</v>
      </c>
      <c r="D101" s="89" t="s">
        <v>181</v>
      </c>
      <c r="E101" s="89" t="s">
        <v>181</v>
      </c>
      <c r="F101" s="89" t="s">
        <v>181</v>
      </c>
      <c r="G101" s="88" t="s">
        <v>181</v>
      </c>
      <c r="H101" s="89" t="s">
        <v>82</v>
      </c>
      <c r="I101" s="89" t="s">
        <v>125</v>
      </c>
      <c r="J101" s="90"/>
    </row>
    <row r="102" spans="1:10" s="1" customFormat="1" x14ac:dyDescent="0.25">
      <c r="A102" s="95">
        <f>F2</f>
        <v>14</v>
      </c>
      <c r="B102" s="88" t="s">
        <v>636</v>
      </c>
      <c r="C102" s="88" t="s">
        <v>300</v>
      </c>
      <c r="D102" s="89">
        <f>D100+F2-1</f>
        <v>2573</v>
      </c>
      <c r="E102" s="89">
        <v>2</v>
      </c>
      <c r="F102" s="89" t="s">
        <v>77</v>
      </c>
      <c r="G102" s="88" t="s">
        <v>102</v>
      </c>
      <c r="H102" s="89" t="s">
        <v>82</v>
      </c>
      <c r="I102" s="89" t="s">
        <v>125</v>
      </c>
      <c r="J102" s="90"/>
    </row>
    <row r="103" spans="1:10" s="1" customFormat="1" x14ac:dyDescent="0.25">
      <c r="A103" s="112"/>
      <c r="B103" s="113"/>
      <c r="C103" s="113"/>
      <c r="D103" s="113"/>
      <c r="E103" s="113"/>
      <c r="F103" s="113"/>
      <c r="G103" s="113"/>
      <c r="H103" s="113"/>
      <c r="I103" s="113"/>
      <c r="J103" s="114"/>
    </row>
    <row r="104" spans="1:10" s="1" customFormat="1" x14ac:dyDescent="0.25">
      <c r="A104" s="95">
        <v>1</v>
      </c>
      <c r="B104" s="88" t="s">
        <v>637</v>
      </c>
      <c r="C104" s="88" t="s">
        <v>300</v>
      </c>
      <c r="D104" s="89">
        <f>D102+1</f>
        <v>2574</v>
      </c>
      <c r="E104" s="89">
        <v>2</v>
      </c>
      <c r="F104" s="89" t="s">
        <v>77</v>
      </c>
      <c r="G104" s="88" t="s">
        <v>639</v>
      </c>
      <c r="H104" s="89" t="s">
        <v>82</v>
      </c>
      <c r="I104" s="89" t="s">
        <v>125</v>
      </c>
      <c r="J104" s="90"/>
    </row>
    <row r="105" spans="1:10" s="1" customFormat="1" x14ac:dyDescent="0.25">
      <c r="A105" s="95">
        <v>2</v>
      </c>
      <c r="B105" s="88" t="s">
        <v>638</v>
      </c>
      <c r="C105" s="88" t="s">
        <v>300</v>
      </c>
      <c r="D105" s="89">
        <f>D104+1</f>
        <v>2575</v>
      </c>
      <c r="E105" s="89">
        <v>2</v>
      </c>
      <c r="F105" s="89" t="s">
        <v>77</v>
      </c>
      <c r="G105" s="88" t="s">
        <v>640</v>
      </c>
      <c r="H105" s="89" t="s">
        <v>82</v>
      </c>
      <c r="I105" s="89" t="s">
        <v>125</v>
      </c>
      <c r="J105" s="90"/>
    </row>
    <row r="106" spans="1:10" s="1" customFormat="1" x14ac:dyDescent="0.25">
      <c r="A106" s="95" t="s">
        <v>181</v>
      </c>
      <c r="B106" s="88" t="s">
        <v>181</v>
      </c>
      <c r="C106" s="88" t="s">
        <v>181</v>
      </c>
      <c r="D106" s="89" t="s">
        <v>181</v>
      </c>
      <c r="E106" s="89" t="s">
        <v>181</v>
      </c>
      <c r="F106" s="89" t="s">
        <v>181</v>
      </c>
      <c r="G106" s="88" t="s">
        <v>181</v>
      </c>
      <c r="H106" s="89" t="s">
        <v>181</v>
      </c>
      <c r="I106" s="89" t="s">
        <v>181</v>
      </c>
      <c r="J106" s="90"/>
    </row>
    <row r="107" spans="1:10" s="1" customFormat="1" x14ac:dyDescent="0.25">
      <c r="A107" s="95">
        <f>A108-1</f>
        <v>31</v>
      </c>
      <c r="B107" s="88" t="s">
        <v>641</v>
      </c>
      <c r="C107" s="88" t="s">
        <v>300</v>
      </c>
      <c r="D107" s="89">
        <f>D108-1</f>
        <v>2604</v>
      </c>
      <c r="E107" s="89">
        <v>2</v>
      </c>
      <c r="F107" s="89" t="s">
        <v>77</v>
      </c>
      <c r="G107" s="88" t="s">
        <v>643</v>
      </c>
      <c r="H107" s="89" t="s">
        <v>82</v>
      </c>
      <c r="I107" s="89" t="s">
        <v>125</v>
      </c>
      <c r="J107" s="90"/>
    </row>
    <row r="108" spans="1:10" s="1" customFormat="1" x14ac:dyDescent="0.25">
      <c r="A108" s="95">
        <f>D2*2</f>
        <v>32</v>
      </c>
      <c r="B108" s="88" t="s">
        <v>642</v>
      </c>
      <c r="C108" s="88" t="s">
        <v>300</v>
      </c>
      <c r="D108" s="89">
        <f>D104+D2*2-1</f>
        <v>2605</v>
      </c>
      <c r="E108" s="89">
        <v>2</v>
      </c>
      <c r="F108" s="89" t="s">
        <v>77</v>
      </c>
      <c r="G108" s="88" t="s">
        <v>644</v>
      </c>
      <c r="H108" s="89" t="s">
        <v>82</v>
      </c>
      <c r="I108" s="89" t="s">
        <v>125</v>
      </c>
      <c r="J108" s="90"/>
    </row>
    <row r="109" spans="1:10" s="1" customFormat="1" x14ac:dyDescent="0.25">
      <c r="A109" s="124" t="s">
        <v>645</v>
      </c>
      <c r="B109" s="125"/>
      <c r="C109" s="125"/>
      <c r="D109" s="125"/>
      <c r="E109" s="125"/>
      <c r="F109" s="125"/>
      <c r="G109" s="125"/>
      <c r="H109" s="125"/>
      <c r="I109" s="125"/>
      <c r="J109" s="126"/>
    </row>
    <row r="110" spans="1:10" s="1" customFormat="1" x14ac:dyDescent="0.25">
      <c r="A110" s="51">
        <f>(F2-1)*D2*2+1</f>
        <v>417</v>
      </c>
      <c r="B110" s="27" t="s">
        <v>646</v>
      </c>
      <c r="C110" s="27" t="s">
        <v>300</v>
      </c>
      <c r="D110" s="52">
        <f>D104+(F2-1)*D2*2</f>
        <v>2990</v>
      </c>
      <c r="E110" s="52">
        <v>2</v>
      </c>
      <c r="F110" s="52" t="s">
        <v>77</v>
      </c>
      <c r="G110" s="27" t="s">
        <v>650</v>
      </c>
      <c r="H110" s="52" t="s">
        <v>82</v>
      </c>
      <c r="I110" s="52" t="s">
        <v>125</v>
      </c>
      <c r="J110" s="53"/>
    </row>
    <row r="111" spans="1:10" s="1" customFormat="1" x14ac:dyDescent="0.25">
      <c r="A111" s="51">
        <f>A110+1</f>
        <v>418</v>
      </c>
      <c r="B111" s="27" t="s">
        <v>647</v>
      </c>
      <c r="C111" s="27" t="s">
        <v>300</v>
      </c>
      <c r="D111" s="52">
        <f>D110+1</f>
        <v>2991</v>
      </c>
      <c r="E111" s="52">
        <v>2</v>
      </c>
      <c r="F111" s="52" t="s">
        <v>77</v>
      </c>
      <c r="G111" s="27" t="s">
        <v>651</v>
      </c>
      <c r="H111" s="52" t="s">
        <v>82</v>
      </c>
      <c r="I111" s="52" t="s">
        <v>125</v>
      </c>
      <c r="J111" s="53"/>
    </row>
    <row r="112" spans="1:10" s="1" customFormat="1" x14ac:dyDescent="0.25">
      <c r="A112" s="51" t="s">
        <v>181</v>
      </c>
      <c r="B112" s="27" t="s">
        <v>181</v>
      </c>
      <c r="C112" s="27" t="s">
        <v>181</v>
      </c>
      <c r="D112" s="52" t="s">
        <v>181</v>
      </c>
      <c r="E112" s="52" t="s">
        <v>181</v>
      </c>
      <c r="F112" s="52" t="s">
        <v>181</v>
      </c>
      <c r="G112" s="27" t="s">
        <v>181</v>
      </c>
      <c r="H112" s="52" t="s">
        <v>181</v>
      </c>
      <c r="I112" s="52" t="s">
        <v>181</v>
      </c>
      <c r="J112" s="53"/>
    </row>
    <row r="113" spans="1:10" s="1" customFormat="1" x14ac:dyDescent="0.25">
      <c r="A113" s="51">
        <f>A114-1</f>
        <v>447</v>
      </c>
      <c r="B113" s="27" t="s">
        <v>648</v>
      </c>
      <c r="C113" s="27" t="s">
        <v>300</v>
      </c>
      <c r="D113" s="52">
        <f>D114-1</f>
        <v>3020</v>
      </c>
      <c r="E113" s="52">
        <v>2</v>
      </c>
      <c r="F113" s="52" t="s">
        <v>77</v>
      </c>
      <c r="G113" s="27" t="s">
        <v>652</v>
      </c>
      <c r="H113" s="52" t="s">
        <v>82</v>
      </c>
      <c r="I113" s="52" t="s">
        <v>125</v>
      </c>
      <c r="J113" s="53"/>
    </row>
    <row r="114" spans="1:10" s="1" customFormat="1" x14ac:dyDescent="0.25">
      <c r="A114" s="51">
        <f>A110+D2*2-1</f>
        <v>448</v>
      </c>
      <c r="B114" s="27" t="s">
        <v>649</v>
      </c>
      <c r="C114" s="27" t="s">
        <v>300</v>
      </c>
      <c r="D114" s="52">
        <f>D104+F2*D2*2-1</f>
        <v>3021</v>
      </c>
      <c r="E114" s="52">
        <v>2</v>
      </c>
      <c r="F114" s="52" t="s">
        <v>77</v>
      </c>
      <c r="G114" s="27" t="s">
        <v>653</v>
      </c>
      <c r="H114" s="52" t="s">
        <v>82</v>
      </c>
      <c r="I114" s="52" t="s">
        <v>125</v>
      </c>
      <c r="J114" s="53"/>
    </row>
    <row r="115" spans="1:10" s="1" customFormat="1" x14ac:dyDescent="0.25">
      <c r="A115" s="46"/>
      <c r="B115" s="7"/>
      <c r="C115" s="7"/>
      <c r="D115" s="25"/>
      <c r="E115" s="25"/>
      <c r="F115" s="25"/>
      <c r="G115" s="7"/>
      <c r="H115" s="25"/>
      <c r="I115" s="25"/>
      <c r="J115" s="45"/>
    </row>
    <row r="116" spans="1:10" s="1" customFormat="1" x14ac:dyDescent="0.25">
      <c r="A116" s="112" t="s">
        <v>158</v>
      </c>
      <c r="B116" s="113"/>
      <c r="C116" s="113"/>
      <c r="D116" s="113"/>
      <c r="E116" s="113"/>
      <c r="F116" s="113"/>
      <c r="G116" s="113"/>
      <c r="H116" s="113"/>
      <c r="I116" s="113"/>
      <c r="J116" s="114"/>
    </row>
    <row r="117" spans="1:10" s="1" customFormat="1" x14ac:dyDescent="0.25">
      <c r="A117" s="46">
        <v>1</v>
      </c>
      <c r="B117" s="7" t="s">
        <v>161</v>
      </c>
      <c r="C117" s="43" t="s">
        <v>299</v>
      </c>
      <c r="D117" s="25">
        <v>4096</v>
      </c>
      <c r="E117" s="25" t="s">
        <v>162</v>
      </c>
      <c r="F117" s="25" t="s">
        <v>9</v>
      </c>
      <c r="G117" s="7" t="s">
        <v>163</v>
      </c>
      <c r="H117" s="25" t="s">
        <v>160</v>
      </c>
      <c r="I117" s="25" t="s">
        <v>135</v>
      </c>
      <c r="J117" s="45" t="s">
        <v>159</v>
      </c>
    </row>
    <row r="118" spans="1:10" s="1" customFormat="1" x14ac:dyDescent="0.25">
      <c r="A118" s="46"/>
      <c r="B118" s="7"/>
      <c r="C118" s="43"/>
      <c r="D118" s="25"/>
      <c r="E118" s="25"/>
      <c r="F118" s="25"/>
      <c r="G118" s="7"/>
      <c r="H118" s="25"/>
      <c r="I118" s="25"/>
      <c r="J118" s="45"/>
    </row>
    <row r="119" spans="1:10" s="1" customFormat="1" x14ac:dyDescent="0.25">
      <c r="A119" s="112" t="s">
        <v>152</v>
      </c>
      <c r="B119" s="113"/>
      <c r="C119" s="113"/>
      <c r="D119" s="113"/>
      <c r="E119" s="113"/>
      <c r="F119" s="113"/>
      <c r="G119" s="113"/>
      <c r="H119" s="113"/>
      <c r="I119" s="113"/>
      <c r="J119" s="114"/>
    </row>
    <row r="120" spans="1:10" s="1" customFormat="1" x14ac:dyDescent="0.25">
      <c r="A120" s="46">
        <v>1</v>
      </c>
      <c r="B120" s="7" t="s">
        <v>243</v>
      </c>
      <c r="C120" s="43" t="s">
        <v>299</v>
      </c>
      <c r="D120" s="25">
        <v>8192</v>
      </c>
      <c r="E120" s="25">
        <v>2</v>
      </c>
      <c r="F120" s="25" t="s">
        <v>9</v>
      </c>
      <c r="G120" s="7" t="s">
        <v>246</v>
      </c>
      <c r="H120" s="25" t="s">
        <v>11</v>
      </c>
      <c r="I120" s="25" t="s">
        <v>135</v>
      </c>
      <c r="J120" s="45" t="s">
        <v>244</v>
      </c>
    </row>
    <row r="121" spans="1:10" s="1" customFormat="1" x14ac:dyDescent="0.25">
      <c r="A121" s="46">
        <v>2</v>
      </c>
      <c r="B121" s="7" t="s">
        <v>245</v>
      </c>
      <c r="C121" s="43" t="s">
        <v>299</v>
      </c>
      <c r="D121" s="25">
        <v>8193</v>
      </c>
      <c r="E121" s="25">
        <v>2</v>
      </c>
      <c r="F121" s="25" t="s">
        <v>9</v>
      </c>
      <c r="G121" s="7" t="s">
        <v>247</v>
      </c>
      <c r="H121" s="25" t="s">
        <v>11</v>
      </c>
      <c r="I121" s="25" t="s">
        <v>125</v>
      </c>
      <c r="J121" s="45"/>
    </row>
    <row r="122" spans="1:10" s="1" customFormat="1" x14ac:dyDescent="0.25">
      <c r="A122" s="46">
        <v>3</v>
      </c>
      <c r="B122" s="7" t="s">
        <v>153</v>
      </c>
      <c r="C122" s="43" t="s">
        <v>299</v>
      </c>
      <c r="D122" s="25">
        <v>8194</v>
      </c>
      <c r="E122" s="25" t="s">
        <v>248</v>
      </c>
      <c r="F122" s="25" t="s">
        <v>154</v>
      </c>
      <c r="G122" s="7" t="s">
        <v>249</v>
      </c>
      <c r="H122" s="25" t="s">
        <v>11</v>
      </c>
      <c r="I122" s="25" t="s">
        <v>135</v>
      </c>
      <c r="J122" s="45"/>
    </row>
    <row r="123" spans="1:10" s="1" customFormat="1" x14ac:dyDescent="0.25">
      <c r="A123" s="46"/>
      <c r="B123" s="7"/>
      <c r="C123" s="7"/>
      <c r="D123" s="25"/>
      <c r="E123" s="25"/>
      <c r="F123" s="25"/>
      <c r="G123" s="7"/>
      <c r="H123" s="25"/>
      <c r="I123" s="25"/>
      <c r="J123" s="45"/>
    </row>
    <row r="124" spans="1:10" s="1" customFormat="1" x14ac:dyDescent="0.25">
      <c r="A124" s="112" t="s">
        <v>180</v>
      </c>
      <c r="B124" s="113"/>
      <c r="C124" s="113"/>
      <c r="D124" s="113"/>
      <c r="E124" s="113"/>
      <c r="F124" s="113"/>
      <c r="G124" s="113"/>
      <c r="H124" s="113"/>
      <c r="I124" s="113"/>
      <c r="J124" s="114"/>
    </row>
    <row r="125" spans="1:10" s="1" customFormat="1" ht="13.8" customHeight="1" x14ac:dyDescent="0.25">
      <c r="A125" s="81">
        <v>1</v>
      </c>
      <c r="B125" s="80" t="s">
        <v>445</v>
      </c>
      <c r="C125" s="85" t="s">
        <v>299</v>
      </c>
      <c r="D125" s="83">
        <v>5358</v>
      </c>
      <c r="E125" s="83">
        <v>2</v>
      </c>
      <c r="F125" s="83" t="s">
        <v>9</v>
      </c>
      <c r="G125" s="80" t="s">
        <v>449</v>
      </c>
      <c r="H125" s="83" t="s">
        <v>6</v>
      </c>
      <c r="I125" s="83" t="s">
        <v>402</v>
      </c>
      <c r="J125" s="86" t="s">
        <v>448</v>
      </c>
    </row>
    <row r="126" spans="1:10" s="1" customFormat="1" ht="13.2" customHeight="1" x14ac:dyDescent="0.25">
      <c r="A126" s="81">
        <v>2</v>
      </c>
      <c r="B126" s="80" t="s">
        <v>446</v>
      </c>
      <c r="C126" s="85" t="s">
        <v>299</v>
      </c>
      <c r="D126" s="83">
        <v>5359</v>
      </c>
      <c r="E126" s="83">
        <v>2</v>
      </c>
      <c r="F126" s="83" t="s">
        <v>9</v>
      </c>
      <c r="G126" s="80" t="s">
        <v>447</v>
      </c>
      <c r="H126" s="83" t="s">
        <v>6</v>
      </c>
      <c r="I126" s="83" t="s">
        <v>402</v>
      </c>
      <c r="J126" s="86"/>
    </row>
    <row r="127" spans="1:10" s="1" customFormat="1" ht="13.8" customHeight="1" x14ac:dyDescent="0.25">
      <c r="A127" s="81">
        <v>3</v>
      </c>
      <c r="B127" s="80" t="s">
        <v>442</v>
      </c>
      <c r="C127" s="85" t="s">
        <v>299</v>
      </c>
      <c r="D127" s="83">
        <v>5360</v>
      </c>
      <c r="E127" s="83">
        <v>2</v>
      </c>
      <c r="F127" s="83" t="s">
        <v>9</v>
      </c>
      <c r="G127" s="80" t="s">
        <v>116</v>
      </c>
      <c r="H127" s="83" t="s">
        <v>6</v>
      </c>
      <c r="I127" s="83" t="s">
        <v>402</v>
      </c>
      <c r="J127" s="86" t="s">
        <v>440</v>
      </c>
    </row>
    <row r="128" spans="1:10" s="1" customFormat="1" ht="13.2" customHeight="1" x14ac:dyDescent="0.25">
      <c r="A128" s="81">
        <v>4</v>
      </c>
      <c r="B128" s="85" t="s">
        <v>391</v>
      </c>
      <c r="C128" s="85" t="s">
        <v>299</v>
      </c>
      <c r="D128" s="83">
        <v>5361</v>
      </c>
      <c r="E128" s="83">
        <v>2</v>
      </c>
      <c r="F128" s="84" t="s">
        <v>9</v>
      </c>
      <c r="G128" s="80" t="s">
        <v>392</v>
      </c>
      <c r="H128" s="83" t="s">
        <v>6</v>
      </c>
      <c r="I128" s="83" t="s">
        <v>402</v>
      </c>
      <c r="J128" s="86"/>
    </row>
    <row r="129" spans="1:10" s="1" customFormat="1" ht="13.2" customHeight="1" x14ac:dyDescent="0.25">
      <c r="A129" s="81">
        <v>5</v>
      </c>
      <c r="B129" s="85" t="s">
        <v>441</v>
      </c>
      <c r="C129" s="85" t="s">
        <v>299</v>
      </c>
      <c r="D129" s="83">
        <v>5362</v>
      </c>
      <c r="E129" s="83">
        <v>2</v>
      </c>
      <c r="F129" s="84" t="s">
        <v>9</v>
      </c>
      <c r="G129" s="82" t="s">
        <v>404</v>
      </c>
      <c r="H129" s="83" t="s">
        <v>6</v>
      </c>
      <c r="I129" s="83" t="s">
        <v>402</v>
      </c>
      <c r="J129" s="86"/>
    </row>
    <row r="130" spans="1:10" s="1" customFormat="1" ht="14.4" customHeight="1" x14ac:dyDescent="0.25">
      <c r="A130" s="81">
        <v>6</v>
      </c>
      <c r="B130" s="85" t="s">
        <v>390</v>
      </c>
      <c r="C130" s="85" t="s">
        <v>299</v>
      </c>
      <c r="D130" s="83">
        <v>5363</v>
      </c>
      <c r="E130" s="83">
        <v>2</v>
      </c>
      <c r="F130" s="84" t="s">
        <v>9</v>
      </c>
      <c r="G130" s="80" t="s">
        <v>582</v>
      </c>
      <c r="H130" s="83" t="s">
        <v>6</v>
      </c>
      <c r="I130" s="83" t="s">
        <v>402</v>
      </c>
      <c r="J130" s="86"/>
    </row>
    <row r="131" spans="1:10" s="1" customFormat="1" ht="14.4" customHeight="1" x14ac:dyDescent="0.25">
      <c r="A131" s="81">
        <v>7</v>
      </c>
      <c r="B131" s="85" t="s">
        <v>389</v>
      </c>
      <c r="C131" s="85" t="s">
        <v>299</v>
      </c>
      <c r="D131" s="83">
        <v>5364</v>
      </c>
      <c r="E131" s="83">
        <v>2</v>
      </c>
      <c r="F131" s="84" t="s">
        <v>9</v>
      </c>
      <c r="G131" s="80" t="s">
        <v>582</v>
      </c>
      <c r="H131" s="83" t="s">
        <v>6</v>
      </c>
      <c r="I131" s="83" t="s">
        <v>402</v>
      </c>
      <c r="J131" s="86"/>
    </row>
    <row r="132" spans="1:10" s="1" customFormat="1" x14ac:dyDescent="0.25">
      <c r="A132" s="60">
        <v>8</v>
      </c>
      <c r="B132" s="74" t="s">
        <v>384</v>
      </c>
      <c r="C132" s="63" t="s">
        <v>299</v>
      </c>
      <c r="D132" s="65">
        <v>5365</v>
      </c>
      <c r="E132" s="65">
        <v>2</v>
      </c>
      <c r="F132" s="65" t="s">
        <v>12</v>
      </c>
      <c r="G132" s="62" t="s">
        <v>393</v>
      </c>
      <c r="H132" s="65" t="s">
        <v>6</v>
      </c>
      <c r="I132" s="65" t="s">
        <v>125</v>
      </c>
      <c r="J132" s="67" t="s">
        <v>403</v>
      </c>
    </row>
    <row r="133" spans="1:10" s="1" customFormat="1" x14ac:dyDescent="0.25">
      <c r="A133" s="60">
        <v>9</v>
      </c>
      <c r="B133" s="74" t="s">
        <v>385</v>
      </c>
      <c r="C133" s="63" t="s">
        <v>299</v>
      </c>
      <c r="D133" s="65">
        <v>5366</v>
      </c>
      <c r="E133" s="65">
        <v>2</v>
      </c>
      <c r="F133" s="65" t="s">
        <v>12</v>
      </c>
      <c r="G133" s="62" t="s">
        <v>394</v>
      </c>
      <c r="H133" s="65" t="s">
        <v>6</v>
      </c>
      <c r="I133" s="65" t="s">
        <v>125</v>
      </c>
      <c r="J133" s="67"/>
    </row>
    <row r="134" spans="1:10" s="1" customFormat="1" x14ac:dyDescent="0.25">
      <c r="A134" s="60">
        <v>10</v>
      </c>
      <c r="B134" s="74" t="s">
        <v>386</v>
      </c>
      <c r="C134" s="63" t="s">
        <v>299</v>
      </c>
      <c r="D134" s="65">
        <v>5367</v>
      </c>
      <c r="E134" s="65">
        <v>2</v>
      </c>
      <c r="F134" s="65" t="s">
        <v>12</v>
      </c>
      <c r="G134" s="62" t="s">
        <v>395</v>
      </c>
      <c r="H134" s="65" t="s">
        <v>6</v>
      </c>
      <c r="I134" s="65" t="s">
        <v>125</v>
      </c>
      <c r="J134" s="67"/>
    </row>
    <row r="135" spans="1:10" s="1" customFormat="1" x14ac:dyDescent="0.25">
      <c r="A135" s="60">
        <v>11</v>
      </c>
      <c r="B135" s="74" t="s">
        <v>388</v>
      </c>
      <c r="C135" s="63" t="s">
        <v>299</v>
      </c>
      <c r="D135" s="65">
        <v>5368</v>
      </c>
      <c r="E135" s="65">
        <v>2</v>
      </c>
      <c r="F135" s="65" t="s">
        <v>9</v>
      </c>
      <c r="G135" s="62" t="s">
        <v>396</v>
      </c>
      <c r="H135" s="65" t="s">
        <v>6</v>
      </c>
      <c r="I135" s="65" t="s">
        <v>125</v>
      </c>
      <c r="J135" s="67"/>
    </row>
    <row r="136" spans="1:10" s="1" customFormat="1" x14ac:dyDescent="0.25">
      <c r="A136" s="60">
        <v>12</v>
      </c>
      <c r="B136" s="74" t="s">
        <v>387</v>
      </c>
      <c r="C136" s="63" t="s">
        <v>299</v>
      </c>
      <c r="D136" s="65">
        <v>5369</v>
      </c>
      <c r="E136" s="65">
        <v>2</v>
      </c>
      <c r="F136" s="65" t="s">
        <v>9</v>
      </c>
      <c r="G136" s="62" t="s">
        <v>397</v>
      </c>
      <c r="H136" s="65" t="s">
        <v>6</v>
      </c>
      <c r="I136" s="65" t="s">
        <v>125</v>
      </c>
      <c r="J136" s="67"/>
    </row>
    <row r="137" spans="1:10" s="1" customFormat="1" x14ac:dyDescent="0.25">
      <c r="A137" s="60">
        <v>13</v>
      </c>
      <c r="B137" s="74" t="s">
        <v>382</v>
      </c>
      <c r="C137" s="63" t="s">
        <v>299</v>
      </c>
      <c r="D137" s="65">
        <v>5370</v>
      </c>
      <c r="E137" s="65">
        <v>2</v>
      </c>
      <c r="F137" s="65" t="s">
        <v>12</v>
      </c>
      <c r="G137" s="62" t="s">
        <v>443</v>
      </c>
      <c r="H137" s="65" t="s">
        <v>6</v>
      </c>
      <c r="I137" s="65" t="s">
        <v>125</v>
      </c>
      <c r="J137" s="67"/>
    </row>
    <row r="138" spans="1:10" s="1" customFormat="1" x14ac:dyDescent="0.25">
      <c r="A138" s="60">
        <v>14</v>
      </c>
      <c r="B138" s="74" t="s">
        <v>383</v>
      </c>
      <c r="C138" s="63" t="s">
        <v>299</v>
      </c>
      <c r="D138" s="65">
        <v>5371</v>
      </c>
      <c r="E138" s="65">
        <v>2</v>
      </c>
      <c r="F138" s="65" t="s">
        <v>12</v>
      </c>
      <c r="G138" s="62" t="s">
        <v>444</v>
      </c>
      <c r="H138" s="65" t="s">
        <v>6</v>
      </c>
      <c r="I138" s="65" t="s">
        <v>125</v>
      </c>
      <c r="J138" s="67"/>
    </row>
    <row r="139" spans="1:10" s="1" customFormat="1" x14ac:dyDescent="0.25">
      <c r="A139" s="60">
        <v>15</v>
      </c>
      <c r="B139" s="75" t="s">
        <v>380</v>
      </c>
      <c r="C139" s="63" t="s">
        <v>299</v>
      </c>
      <c r="D139" s="65">
        <v>5372</v>
      </c>
      <c r="E139" s="65">
        <v>2</v>
      </c>
      <c r="F139" s="65" t="s">
        <v>9</v>
      </c>
      <c r="G139" s="55" t="s">
        <v>398</v>
      </c>
      <c r="H139" s="65" t="s">
        <v>6</v>
      </c>
      <c r="I139" s="65" t="s">
        <v>125</v>
      </c>
      <c r="J139" s="67"/>
    </row>
    <row r="140" spans="1:10" s="1" customFormat="1" x14ac:dyDescent="0.25">
      <c r="A140" s="60">
        <v>16</v>
      </c>
      <c r="B140" s="75" t="s">
        <v>379</v>
      </c>
      <c r="C140" s="63" t="s">
        <v>299</v>
      </c>
      <c r="D140" s="65">
        <v>5373</v>
      </c>
      <c r="E140" s="65">
        <v>2</v>
      </c>
      <c r="F140" s="65" t="s">
        <v>9</v>
      </c>
      <c r="G140" s="55" t="s">
        <v>400</v>
      </c>
      <c r="H140" s="65" t="s">
        <v>6</v>
      </c>
      <c r="I140" s="65" t="s">
        <v>125</v>
      </c>
      <c r="J140" s="67"/>
    </row>
    <row r="141" spans="1:10" s="1" customFormat="1" x14ac:dyDescent="0.25">
      <c r="A141" s="92">
        <v>17</v>
      </c>
      <c r="B141" s="98" t="s">
        <v>709</v>
      </c>
      <c r="C141" s="99" t="s">
        <v>299</v>
      </c>
      <c r="D141" s="100">
        <v>5374</v>
      </c>
      <c r="E141" s="100">
        <v>2</v>
      </c>
      <c r="F141" s="100" t="s">
        <v>9</v>
      </c>
      <c r="G141" s="98" t="s">
        <v>710</v>
      </c>
      <c r="H141" s="100" t="s">
        <v>6</v>
      </c>
      <c r="I141" s="100" t="s">
        <v>125</v>
      </c>
      <c r="J141" s="101"/>
    </row>
    <row r="142" spans="1:10" s="1" customFormat="1" x14ac:dyDescent="0.25">
      <c r="A142" s="92">
        <v>18</v>
      </c>
      <c r="B142" s="98" t="s">
        <v>692</v>
      </c>
      <c r="C142" s="99" t="s">
        <v>299</v>
      </c>
      <c r="D142" s="100">
        <v>5375</v>
      </c>
      <c r="E142" s="100">
        <v>2</v>
      </c>
      <c r="F142" s="100" t="s">
        <v>9</v>
      </c>
      <c r="G142" s="98" t="s">
        <v>711</v>
      </c>
      <c r="H142" s="100" t="s">
        <v>6</v>
      </c>
      <c r="I142" s="100" t="s">
        <v>125</v>
      </c>
      <c r="J142" s="101"/>
    </row>
    <row r="143" spans="1:10" s="1" customFormat="1" x14ac:dyDescent="0.25">
      <c r="A143" s="60">
        <v>19</v>
      </c>
      <c r="B143" s="7" t="s">
        <v>41</v>
      </c>
      <c r="C143" s="43" t="s">
        <v>299</v>
      </c>
      <c r="D143" s="25">
        <v>5376</v>
      </c>
      <c r="E143" s="25">
        <v>2</v>
      </c>
      <c r="F143" s="25" t="s">
        <v>9</v>
      </c>
      <c r="G143" s="7" t="s">
        <v>83</v>
      </c>
      <c r="H143" s="25" t="s">
        <v>6</v>
      </c>
      <c r="I143" s="25" t="s">
        <v>135</v>
      </c>
      <c r="J143" s="45" t="s">
        <v>185</v>
      </c>
    </row>
    <row r="144" spans="1:10" s="1" customFormat="1" x14ac:dyDescent="0.25">
      <c r="A144" s="60">
        <v>20</v>
      </c>
      <c r="B144" s="7" t="s">
        <v>42</v>
      </c>
      <c r="C144" s="43" t="s">
        <v>299</v>
      </c>
      <c r="D144" s="25">
        <v>5377</v>
      </c>
      <c r="E144" s="25">
        <v>2</v>
      </c>
      <c r="F144" s="25" t="s">
        <v>9</v>
      </c>
      <c r="G144" s="7" t="s">
        <v>84</v>
      </c>
      <c r="H144" s="25" t="s">
        <v>6</v>
      </c>
      <c r="I144" s="25" t="s">
        <v>135</v>
      </c>
      <c r="J144" s="45"/>
    </row>
    <row r="145" spans="1:10" s="1" customFormat="1" x14ac:dyDescent="0.25">
      <c r="A145" s="60">
        <v>21</v>
      </c>
      <c r="B145" s="47" t="s">
        <v>43</v>
      </c>
      <c r="C145" s="43" t="s">
        <v>299</v>
      </c>
      <c r="D145" s="25">
        <v>5378</v>
      </c>
      <c r="E145" s="25">
        <v>2</v>
      </c>
      <c r="F145" s="25" t="s">
        <v>9</v>
      </c>
      <c r="G145" s="7" t="s">
        <v>85</v>
      </c>
      <c r="H145" s="25" t="s">
        <v>6</v>
      </c>
      <c r="I145" s="25" t="s">
        <v>135</v>
      </c>
      <c r="J145" s="45"/>
    </row>
    <row r="146" spans="1:10" s="1" customFormat="1" x14ac:dyDescent="0.25">
      <c r="A146" s="60">
        <v>22</v>
      </c>
      <c r="B146" s="47" t="s">
        <v>374</v>
      </c>
      <c r="C146" s="43" t="s">
        <v>299</v>
      </c>
      <c r="D146" s="25">
        <v>5379</v>
      </c>
      <c r="E146" s="25">
        <v>2</v>
      </c>
      <c r="F146" s="25" t="s">
        <v>9</v>
      </c>
      <c r="G146" s="7" t="s">
        <v>44</v>
      </c>
      <c r="H146" s="25" t="s">
        <v>6</v>
      </c>
      <c r="I146" s="25" t="s">
        <v>135</v>
      </c>
      <c r="J146" s="45"/>
    </row>
    <row r="147" spans="1:10" s="1" customFormat="1" x14ac:dyDescent="0.25">
      <c r="A147" s="60">
        <v>23</v>
      </c>
      <c r="B147" s="47" t="s">
        <v>45</v>
      </c>
      <c r="C147" s="43" t="s">
        <v>299</v>
      </c>
      <c r="D147" s="25">
        <v>5380</v>
      </c>
      <c r="E147" s="25">
        <v>2</v>
      </c>
      <c r="F147" s="25" t="s">
        <v>12</v>
      </c>
      <c r="G147" s="7" t="s">
        <v>86</v>
      </c>
      <c r="H147" s="25" t="s">
        <v>6</v>
      </c>
      <c r="I147" s="25" t="s">
        <v>135</v>
      </c>
      <c r="J147" s="45"/>
    </row>
    <row r="148" spans="1:10" s="1" customFormat="1" x14ac:dyDescent="0.25">
      <c r="A148" s="60">
        <v>24</v>
      </c>
      <c r="B148" s="47" t="s">
        <v>46</v>
      </c>
      <c r="C148" s="43" t="s">
        <v>299</v>
      </c>
      <c r="D148" s="25">
        <v>5381</v>
      </c>
      <c r="E148" s="25">
        <v>2</v>
      </c>
      <c r="F148" s="25" t="s">
        <v>12</v>
      </c>
      <c r="G148" s="7" t="s">
        <v>47</v>
      </c>
      <c r="H148" s="25" t="s">
        <v>6</v>
      </c>
      <c r="I148" s="25" t="s">
        <v>135</v>
      </c>
      <c r="J148" s="45"/>
    </row>
    <row r="149" spans="1:10" s="1" customFormat="1" x14ac:dyDescent="0.25">
      <c r="A149" s="60">
        <v>25</v>
      </c>
      <c r="B149" s="47" t="s">
        <v>48</v>
      </c>
      <c r="C149" s="43" t="s">
        <v>299</v>
      </c>
      <c r="D149" s="25">
        <v>5382</v>
      </c>
      <c r="E149" s="25">
        <v>2</v>
      </c>
      <c r="F149" s="25" t="s">
        <v>12</v>
      </c>
      <c r="G149" s="7" t="s">
        <v>87</v>
      </c>
      <c r="H149" s="25" t="s">
        <v>6</v>
      </c>
      <c r="I149" s="25" t="s">
        <v>135</v>
      </c>
      <c r="J149" s="45"/>
    </row>
    <row r="150" spans="1:10" s="1" customFormat="1" x14ac:dyDescent="0.25">
      <c r="A150" s="60">
        <v>26</v>
      </c>
      <c r="B150" s="47" t="s">
        <v>49</v>
      </c>
      <c r="C150" s="43" t="s">
        <v>299</v>
      </c>
      <c r="D150" s="25">
        <v>5383</v>
      </c>
      <c r="E150" s="25">
        <v>2</v>
      </c>
      <c r="F150" s="25" t="s">
        <v>12</v>
      </c>
      <c r="G150" s="7" t="s">
        <v>50</v>
      </c>
      <c r="H150" s="25" t="s">
        <v>6</v>
      </c>
      <c r="I150" s="25" t="s">
        <v>135</v>
      </c>
      <c r="J150" s="45"/>
    </row>
    <row r="151" spans="1:10" s="1" customFormat="1" x14ac:dyDescent="0.25">
      <c r="A151" s="60">
        <v>27</v>
      </c>
      <c r="B151" s="47" t="s">
        <v>51</v>
      </c>
      <c r="C151" s="43" t="s">
        <v>299</v>
      </c>
      <c r="D151" s="25">
        <v>5384</v>
      </c>
      <c r="E151" s="25">
        <v>2</v>
      </c>
      <c r="F151" s="25" t="s">
        <v>12</v>
      </c>
      <c r="G151" s="7" t="s">
        <v>88</v>
      </c>
      <c r="H151" s="25" t="s">
        <v>6</v>
      </c>
      <c r="I151" s="25" t="s">
        <v>135</v>
      </c>
      <c r="J151" s="45"/>
    </row>
    <row r="152" spans="1:10" s="1" customFormat="1" x14ac:dyDescent="0.25">
      <c r="A152" s="60">
        <v>28</v>
      </c>
      <c r="B152" s="47" t="s">
        <v>52</v>
      </c>
      <c r="C152" s="43" t="s">
        <v>299</v>
      </c>
      <c r="D152" s="25">
        <v>5385</v>
      </c>
      <c r="E152" s="25">
        <v>2</v>
      </c>
      <c r="F152" s="25" t="s">
        <v>12</v>
      </c>
      <c r="G152" s="7" t="s">
        <v>89</v>
      </c>
      <c r="H152" s="25" t="s">
        <v>6</v>
      </c>
      <c r="I152" s="25" t="s">
        <v>135</v>
      </c>
      <c r="J152" s="45"/>
    </row>
    <row r="153" spans="1:10" s="1" customFormat="1" x14ac:dyDescent="0.25">
      <c r="A153" s="60">
        <v>29</v>
      </c>
      <c r="B153" s="47" t="s">
        <v>53</v>
      </c>
      <c r="C153" s="43" t="s">
        <v>299</v>
      </c>
      <c r="D153" s="25">
        <v>5386</v>
      </c>
      <c r="E153" s="25">
        <v>2</v>
      </c>
      <c r="F153" s="25" t="s">
        <v>12</v>
      </c>
      <c r="G153" s="7" t="s">
        <v>90</v>
      </c>
      <c r="H153" s="25" t="s">
        <v>6</v>
      </c>
      <c r="I153" s="25" t="s">
        <v>135</v>
      </c>
      <c r="J153" s="45"/>
    </row>
    <row r="154" spans="1:10" s="1" customFormat="1" x14ac:dyDescent="0.25">
      <c r="A154" s="60">
        <v>30</v>
      </c>
      <c r="B154" s="47" t="s">
        <v>54</v>
      </c>
      <c r="C154" s="43" t="s">
        <v>299</v>
      </c>
      <c r="D154" s="25">
        <v>5387</v>
      </c>
      <c r="E154" s="25">
        <v>2</v>
      </c>
      <c r="F154" s="25" t="s">
        <v>12</v>
      </c>
      <c r="G154" s="7" t="s">
        <v>91</v>
      </c>
      <c r="H154" s="25" t="s">
        <v>6</v>
      </c>
      <c r="I154" s="25" t="s">
        <v>135</v>
      </c>
      <c r="J154" s="45"/>
    </row>
    <row r="155" spans="1:10" s="1" customFormat="1" x14ac:dyDescent="0.25">
      <c r="A155" s="60">
        <v>31</v>
      </c>
      <c r="B155" s="47" t="s">
        <v>381</v>
      </c>
      <c r="C155" s="43" t="s">
        <v>299</v>
      </c>
      <c r="D155" s="25">
        <v>5388</v>
      </c>
      <c r="E155" s="25">
        <v>2</v>
      </c>
      <c r="F155" s="25" t="s">
        <v>12</v>
      </c>
      <c r="G155" s="7" t="s">
        <v>92</v>
      </c>
      <c r="H155" s="25" t="s">
        <v>6</v>
      </c>
      <c r="I155" s="25" t="s">
        <v>135</v>
      </c>
      <c r="J155" s="45"/>
    </row>
    <row r="156" spans="1:10" s="1" customFormat="1" x14ac:dyDescent="0.25">
      <c r="A156" s="60">
        <v>32</v>
      </c>
      <c r="B156" s="47" t="s">
        <v>55</v>
      </c>
      <c r="C156" s="43" t="s">
        <v>299</v>
      </c>
      <c r="D156" s="25">
        <v>5389</v>
      </c>
      <c r="E156" s="25">
        <v>2</v>
      </c>
      <c r="F156" s="25" t="s">
        <v>12</v>
      </c>
      <c r="G156" s="7" t="s">
        <v>93</v>
      </c>
      <c r="H156" s="25" t="s">
        <v>6</v>
      </c>
      <c r="I156" s="25" t="s">
        <v>135</v>
      </c>
      <c r="J156" s="45"/>
    </row>
    <row r="157" spans="1:10" s="1" customFormat="1" x14ac:dyDescent="0.25">
      <c r="A157" s="60">
        <v>33</v>
      </c>
      <c r="B157" s="47" t="s">
        <v>56</v>
      </c>
      <c r="C157" s="43" t="s">
        <v>299</v>
      </c>
      <c r="D157" s="25">
        <v>5390</v>
      </c>
      <c r="E157" s="25">
        <v>2</v>
      </c>
      <c r="F157" s="25" t="s">
        <v>9</v>
      </c>
      <c r="G157" s="7" t="s">
        <v>123</v>
      </c>
      <c r="H157" s="25" t="s">
        <v>6</v>
      </c>
      <c r="I157" s="25" t="s">
        <v>135</v>
      </c>
      <c r="J157" s="45"/>
    </row>
    <row r="158" spans="1:10" s="1" customFormat="1" x14ac:dyDescent="0.25">
      <c r="A158" s="60">
        <v>34</v>
      </c>
      <c r="B158" s="47" t="s">
        <v>57</v>
      </c>
      <c r="C158" s="43" t="s">
        <v>299</v>
      </c>
      <c r="D158" s="25">
        <v>5391</v>
      </c>
      <c r="E158" s="25">
        <v>2</v>
      </c>
      <c r="F158" s="25" t="s">
        <v>9</v>
      </c>
      <c r="G158" s="7" t="s">
        <v>124</v>
      </c>
      <c r="H158" s="25" t="s">
        <v>6</v>
      </c>
      <c r="I158" s="25" t="s">
        <v>135</v>
      </c>
      <c r="J158" s="45"/>
    </row>
    <row r="159" spans="1:10" s="1" customFormat="1" x14ac:dyDescent="0.25">
      <c r="A159" s="60">
        <v>35</v>
      </c>
      <c r="B159" s="47" t="s">
        <v>58</v>
      </c>
      <c r="C159" s="43" t="s">
        <v>299</v>
      </c>
      <c r="D159" s="25">
        <v>5392</v>
      </c>
      <c r="E159" s="25">
        <v>2</v>
      </c>
      <c r="F159" s="25" t="s">
        <v>9</v>
      </c>
      <c r="G159" s="7" t="s">
        <v>124</v>
      </c>
      <c r="H159" s="25" t="s">
        <v>6</v>
      </c>
      <c r="I159" s="25" t="s">
        <v>135</v>
      </c>
      <c r="J159" s="45"/>
    </row>
    <row r="160" spans="1:10" s="1" customFormat="1" x14ac:dyDescent="0.25">
      <c r="A160" s="60">
        <v>36</v>
      </c>
      <c r="B160" s="47" t="s">
        <v>59</v>
      </c>
      <c r="C160" s="43" t="s">
        <v>299</v>
      </c>
      <c r="D160" s="25">
        <v>5393</v>
      </c>
      <c r="E160" s="25">
        <v>2</v>
      </c>
      <c r="F160" s="25" t="s">
        <v>9</v>
      </c>
      <c r="G160" s="7" t="s">
        <v>94</v>
      </c>
      <c r="H160" s="25" t="s">
        <v>6</v>
      </c>
      <c r="I160" s="25" t="s">
        <v>135</v>
      </c>
      <c r="J160" s="45"/>
    </row>
    <row r="161" spans="1:10" s="1" customFormat="1" x14ac:dyDescent="0.25">
      <c r="A161" s="60">
        <v>37</v>
      </c>
      <c r="B161" s="47" t="s">
        <v>60</v>
      </c>
      <c r="C161" s="43" t="s">
        <v>299</v>
      </c>
      <c r="D161" s="25">
        <v>5394</v>
      </c>
      <c r="E161" s="25">
        <v>2</v>
      </c>
      <c r="F161" s="25" t="s">
        <v>9</v>
      </c>
      <c r="G161" s="7" t="s">
        <v>95</v>
      </c>
      <c r="H161" s="25" t="s">
        <v>6</v>
      </c>
      <c r="I161" s="25" t="s">
        <v>135</v>
      </c>
      <c r="J161" s="45"/>
    </row>
    <row r="162" spans="1:10" s="1" customFormat="1" x14ac:dyDescent="0.25">
      <c r="A162" s="60">
        <v>38</v>
      </c>
      <c r="B162" s="47" t="s">
        <v>61</v>
      </c>
      <c r="C162" s="43" t="s">
        <v>299</v>
      </c>
      <c r="D162" s="25">
        <v>5395</v>
      </c>
      <c r="E162" s="25">
        <v>2</v>
      </c>
      <c r="F162" s="25" t="s">
        <v>9</v>
      </c>
      <c r="G162" s="7" t="s">
        <v>96</v>
      </c>
      <c r="H162" s="25" t="s">
        <v>6</v>
      </c>
      <c r="I162" s="25" t="s">
        <v>135</v>
      </c>
      <c r="J162" s="45"/>
    </row>
    <row r="163" spans="1:10" s="1" customFormat="1" x14ac:dyDescent="0.25">
      <c r="A163" s="60">
        <v>39</v>
      </c>
      <c r="B163" s="47" t="s">
        <v>62</v>
      </c>
      <c r="C163" s="43" t="s">
        <v>299</v>
      </c>
      <c r="D163" s="25">
        <v>5396</v>
      </c>
      <c r="E163" s="25">
        <v>2</v>
      </c>
      <c r="F163" s="25" t="s">
        <v>9</v>
      </c>
      <c r="G163" s="7" t="s">
        <v>100</v>
      </c>
      <c r="H163" s="25" t="s">
        <v>6</v>
      </c>
      <c r="I163" s="25" t="s">
        <v>135</v>
      </c>
      <c r="J163" s="45"/>
    </row>
    <row r="164" spans="1:10" s="1" customFormat="1" x14ac:dyDescent="0.25">
      <c r="A164" s="60">
        <v>40</v>
      </c>
      <c r="B164" s="48" t="s">
        <v>164</v>
      </c>
      <c r="C164" s="43" t="s">
        <v>299</v>
      </c>
      <c r="D164" s="25">
        <v>5397</v>
      </c>
      <c r="E164" s="28">
        <v>2</v>
      </c>
      <c r="F164" s="28" t="s">
        <v>9</v>
      </c>
      <c r="G164" s="26" t="s">
        <v>399</v>
      </c>
      <c r="H164" s="28" t="s">
        <v>6</v>
      </c>
      <c r="I164" s="25" t="s">
        <v>135</v>
      </c>
      <c r="J164" s="45"/>
    </row>
    <row r="165" spans="1:10" s="1" customFormat="1" x14ac:dyDescent="0.25">
      <c r="A165" s="60">
        <v>41</v>
      </c>
      <c r="B165" s="48" t="s">
        <v>121</v>
      </c>
      <c r="C165" s="43" t="s">
        <v>299</v>
      </c>
      <c r="D165" s="25">
        <v>5398</v>
      </c>
      <c r="E165" s="28">
        <v>2</v>
      </c>
      <c r="F165" s="28" t="s">
        <v>9</v>
      </c>
      <c r="G165" s="26" t="s">
        <v>401</v>
      </c>
      <c r="H165" s="28" t="s">
        <v>6</v>
      </c>
      <c r="I165" s="25" t="s">
        <v>135</v>
      </c>
      <c r="J165" s="45"/>
    </row>
    <row r="166" spans="1:10" s="1" customFormat="1" x14ac:dyDescent="0.25">
      <c r="A166" s="60">
        <v>42</v>
      </c>
      <c r="B166" s="43" t="s">
        <v>101</v>
      </c>
      <c r="C166" s="43" t="s">
        <v>299</v>
      </c>
      <c r="D166" s="25">
        <v>5399</v>
      </c>
      <c r="E166" s="44">
        <v>2</v>
      </c>
      <c r="F166" s="44" t="s">
        <v>9</v>
      </c>
      <c r="G166" s="6" t="s">
        <v>250</v>
      </c>
      <c r="H166" s="44" t="s">
        <v>6</v>
      </c>
      <c r="I166" s="25" t="s">
        <v>135</v>
      </c>
      <c r="J166" s="45"/>
    </row>
    <row r="167" spans="1:10" s="1" customFormat="1" x14ac:dyDescent="0.25">
      <c r="A167" s="60">
        <v>43</v>
      </c>
      <c r="B167" s="6" t="s">
        <v>63</v>
      </c>
      <c r="C167" s="43" t="s">
        <v>299</v>
      </c>
      <c r="D167" s="25">
        <v>5400</v>
      </c>
      <c r="E167" s="44">
        <v>2</v>
      </c>
      <c r="F167" s="44" t="s">
        <v>9</v>
      </c>
      <c r="G167" s="6" t="s">
        <v>251</v>
      </c>
      <c r="H167" s="44" t="s">
        <v>6</v>
      </c>
      <c r="I167" s="25" t="s">
        <v>135</v>
      </c>
      <c r="J167" s="45"/>
    </row>
    <row r="168" spans="1:10" s="1" customFormat="1" x14ac:dyDescent="0.25">
      <c r="A168" s="60">
        <v>44</v>
      </c>
      <c r="B168" s="6" t="s">
        <v>64</v>
      </c>
      <c r="C168" s="43" t="s">
        <v>299</v>
      </c>
      <c r="D168" s="25">
        <v>5401</v>
      </c>
      <c r="E168" s="44">
        <v>2</v>
      </c>
      <c r="F168" s="44" t="s">
        <v>9</v>
      </c>
      <c r="G168" s="6" t="s">
        <v>97</v>
      </c>
      <c r="H168" s="44" t="s">
        <v>6</v>
      </c>
      <c r="I168" s="25" t="s">
        <v>135</v>
      </c>
      <c r="J168" s="45"/>
    </row>
    <row r="169" spans="1:10" s="1" customFormat="1" x14ac:dyDescent="0.25">
      <c r="A169" s="60">
        <v>45</v>
      </c>
      <c r="B169" s="6" t="s">
        <v>66</v>
      </c>
      <c r="C169" s="43" t="s">
        <v>299</v>
      </c>
      <c r="D169" s="25">
        <v>5402</v>
      </c>
      <c r="E169" s="44">
        <v>2</v>
      </c>
      <c r="F169" s="44" t="s">
        <v>9</v>
      </c>
      <c r="G169" s="6" t="s">
        <v>98</v>
      </c>
      <c r="H169" s="44" t="s">
        <v>6</v>
      </c>
      <c r="I169" s="25" t="s">
        <v>135</v>
      </c>
      <c r="J169" s="45"/>
    </row>
    <row r="170" spans="1:10" s="1" customFormat="1" x14ac:dyDescent="0.25">
      <c r="A170" s="60">
        <v>46</v>
      </c>
      <c r="B170" s="6" t="s">
        <v>67</v>
      </c>
      <c r="C170" s="43" t="s">
        <v>299</v>
      </c>
      <c r="D170" s="25">
        <v>5403</v>
      </c>
      <c r="E170" s="44">
        <v>2</v>
      </c>
      <c r="F170" s="44" t="s">
        <v>9</v>
      </c>
      <c r="G170" s="6" t="s">
        <v>99</v>
      </c>
      <c r="H170" s="44" t="s">
        <v>6</v>
      </c>
      <c r="I170" s="25" t="s">
        <v>135</v>
      </c>
      <c r="J170" s="45"/>
    </row>
    <row r="171" spans="1:10" s="1" customFormat="1" x14ac:dyDescent="0.25">
      <c r="A171" s="60">
        <v>47</v>
      </c>
      <c r="B171" s="6" t="s">
        <v>68</v>
      </c>
      <c r="C171" s="43" t="s">
        <v>299</v>
      </c>
      <c r="D171" s="25">
        <v>5404</v>
      </c>
      <c r="E171" s="44">
        <v>2</v>
      </c>
      <c r="F171" s="44" t="s">
        <v>9</v>
      </c>
      <c r="G171" s="6" t="s">
        <v>252</v>
      </c>
      <c r="H171" s="44" t="s">
        <v>6</v>
      </c>
      <c r="I171" s="25" t="s">
        <v>135</v>
      </c>
      <c r="J171" s="45"/>
    </row>
    <row r="172" spans="1:10" s="1" customFormat="1" x14ac:dyDescent="0.25">
      <c r="A172" s="60">
        <v>48</v>
      </c>
      <c r="B172" s="6" t="s">
        <v>165</v>
      </c>
      <c r="C172" s="43" t="s">
        <v>299</v>
      </c>
      <c r="D172" s="25">
        <v>5405</v>
      </c>
      <c r="E172" s="44">
        <v>2</v>
      </c>
      <c r="F172" s="44" t="s">
        <v>9</v>
      </c>
      <c r="G172" s="6" t="s">
        <v>253</v>
      </c>
      <c r="H172" s="44" t="s">
        <v>6</v>
      </c>
      <c r="I172" s="25" t="s">
        <v>135</v>
      </c>
      <c r="J172" s="45"/>
    </row>
    <row r="173" spans="1:10" s="1" customFormat="1" x14ac:dyDescent="0.25">
      <c r="A173" s="60">
        <v>49</v>
      </c>
      <c r="B173" s="6" t="s">
        <v>167</v>
      </c>
      <c r="C173" s="43" t="s">
        <v>299</v>
      </c>
      <c r="D173" s="25">
        <v>5406</v>
      </c>
      <c r="E173" s="28">
        <v>2</v>
      </c>
      <c r="F173" s="28" t="s">
        <v>9</v>
      </c>
      <c r="G173" s="26" t="s">
        <v>171</v>
      </c>
      <c r="H173" s="28" t="s">
        <v>6</v>
      </c>
      <c r="I173" s="25" t="s">
        <v>135</v>
      </c>
      <c r="J173" s="45"/>
    </row>
    <row r="174" spans="1:10" s="1" customFormat="1" x14ac:dyDescent="0.25">
      <c r="A174" s="60">
        <v>50</v>
      </c>
      <c r="B174" s="26" t="s">
        <v>166</v>
      </c>
      <c r="C174" s="43" t="s">
        <v>299</v>
      </c>
      <c r="D174" s="25">
        <v>5407</v>
      </c>
      <c r="E174" s="28">
        <v>2</v>
      </c>
      <c r="F174" s="28" t="s">
        <v>9</v>
      </c>
      <c r="G174" s="26" t="s">
        <v>341</v>
      </c>
      <c r="H174" s="28" t="s">
        <v>6</v>
      </c>
      <c r="I174" s="25" t="s">
        <v>135</v>
      </c>
      <c r="J174" s="45"/>
    </row>
    <row r="175" spans="1:10" s="1" customFormat="1" x14ac:dyDescent="0.25">
      <c r="A175" s="60">
        <v>51</v>
      </c>
      <c r="B175" s="26" t="s">
        <v>69</v>
      </c>
      <c r="C175" s="48" t="s">
        <v>299</v>
      </c>
      <c r="D175" s="28">
        <v>5408</v>
      </c>
      <c r="E175" s="28">
        <v>2</v>
      </c>
      <c r="F175" s="28" t="s">
        <v>9</v>
      </c>
      <c r="G175" s="26" t="s">
        <v>613</v>
      </c>
      <c r="H175" s="28" t="s">
        <v>6</v>
      </c>
      <c r="I175" s="28" t="s">
        <v>135</v>
      </c>
      <c r="J175" s="50"/>
    </row>
    <row r="176" spans="1:10" s="1" customFormat="1" x14ac:dyDescent="0.25">
      <c r="A176" s="60">
        <v>52</v>
      </c>
      <c r="B176" s="26" t="s">
        <v>616</v>
      </c>
      <c r="C176" s="48" t="s">
        <v>299</v>
      </c>
      <c r="D176" s="28">
        <v>5409</v>
      </c>
      <c r="E176" s="28">
        <v>2</v>
      </c>
      <c r="F176" s="28" t="s">
        <v>9</v>
      </c>
      <c r="G176" s="26" t="s">
        <v>617</v>
      </c>
      <c r="H176" s="28" t="s">
        <v>6</v>
      </c>
      <c r="I176" s="28" t="s">
        <v>135</v>
      </c>
      <c r="J176" s="50"/>
    </row>
    <row r="177" spans="1:10" s="1" customFormat="1" x14ac:dyDescent="0.25">
      <c r="A177" s="60">
        <v>53</v>
      </c>
      <c r="B177" s="6" t="s">
        <v>70</v>
      </c>
      <c r="C177" s="43" t="s">
        <v>299</v>
      </c>
      <c r="D177" s="25">
        <v>5410</v>
      </c>
      <c r="E177" s="44">
        <v>2</v>
      </c>
      <c r="F177" s="44" t="s">
        <v>9</v>
      </c>
      <c r="G177" s="6" t="s">
        <v>510</v>
      </c>
      <c r="H177" s="44" t="s">
        <v>6</v>
      </c>
      <c r="I177" s="25" t="s">
        <v>135</v>
      </c>
      <c r="J177" s="45"/>
    </row>
    <row r="178" spans="1:10" s="1" customFormat="1" x14ac:dyDescent="0.25">
      <c r="A178" s="60">
        <v>54</v>
      </c>
      <c r="B178" s="6" t="s">
        <v>65</v>
      </c>
      <c r="C178" s="43" t="s">
        <v>299</v>
      </c>
      <c r="D178" s="25">
        <v>5411</v>
      </c>
      <c r="E178" s="44">
        <v>2</v>
      </c>
      <c r="F178" s="44" t="s">
        <v>9</v>
      </c>
      <c r="G178" s="6" t="s">
        <v>172</v>
      </c>
      <c r="H178" s="44" t="s">
        <v>6</v>
      </c>
      <c r="I178" s="25" t="s">
        <v>135</v>
      </c>
      <c r="J178" s="45"/>
    </row>
    <row r="179" spans="1:10" s="1" customFormat="1" x14ac:dyDescent="0.25">
      <c r="A179" s="60">
        <v>55</v>
      </c>
      <c r="B179" s="6" t="s">
        <v>168</v>
      </c>
      <c r="C179" s="43" t="s">
        <v>299</v>
      </c>
      <c r="D179" s="25">
        <v>5412</v>
      </c>
      <c r="E179" s="44">
        <v>2</v>
      </c>
      <c r="F179" s="44" t="s">
        <v>9</v>
      </c>
      <c r="G179" s="7" t="s">
        <v>173</v>
      </c>
      <c r="H179" s="44" t="s">
        <v>6</v>
      </c>
      <c r="I179" s="25" t="s">
        <v>135</v>
      </c>
      <c r="J179" s="45"/>
    </row>
    <row r="180" spans="1:10" s="1" customFormat="1" x14ac:dyDescent="0.25">
      <c r="A180" s="60">
        <v>56</v>
      </c>
      <c r="B180" s="6" t="s">
        <v>169</v>
      </c>
      <c r="C180" s="43" t="s">
        <v>299</v>
      </c>
      <c r="D180" s="25">
        <v>5413</v>
      </c>
      <c r="E180" s="44">
        <v>2</v>
      </c>
      <c r="F180" s="44" t="s">
        <v>9</v>
      </c>
      <c r="G180" s="7" t="s">
        <v>174</v>
      </c>
      <c r="H180" s="44" t="s">
        <v>6</v>
      </c>
      <c r="I180" s="25" t="s">
        <v>135</v>
      </c>
      <c r="J180" s="45"/>
    </row>
    <row r="181" spans="1:10" s="1" customFormat="1" x14ac:dyDescent="0.25">
      <c r="A181" s="60">
        <v>57</v>
      </c>
      <c r="B181" s="6" t="s">
        <v>170</v>
      </c>
      <c r="C181" s="43" t="s">
        <v>299</v>
      </c>
      <c r="D181" s="25">
        <v>5414</v>
      </c>
      <c r="E181" s="44">
        <v>2</v>
      </c>
      <c r="F181" s="44" t="s">
        <v>9</v>
      </c>
      <c r="G181" s="7" t="s">
        <v>175</v>
      </c>
      <c r="H181" s="44" t="s">
        <v>6</v>
      </c>
      <c r="I181" s="25" t="s">
        <v>135</v>
      </c>
      <c r="J181" s="45"/>
    </row>
    <row r="182" spans="1:10" s="1" customFormat="1" ht="127.2" customHeight="1" x14ac:dyDescent="0.25">
      <c r="A182" s="60">
        <v>58</v>
      </c>
      <c r="B182" s="26" t="s">
        <v>493</v>
      </c>
      <c r="C182" s="48" t="s">
        <v>299</v>
      </c>
      <c r="D182" s="28">
        <v>5415</v>
      </c>
      <c r="E182" s="28">
        <v>2</v>
      </c>
      <c r="F182" s="28" t="s">
        <v>9</v>
      </c>
      <c r="G182" s="55" t="s">
        <v>590</v>
      </c>
      <c r="H182" s="28" t="s">
        <v>6</v>
      </c>
      <c r="I182" s="28" t="s">
        <v>135</v>
      </c>
      <c r="J182" s="50"/>
    </row>
    <row r="183" spans="1:10" s="1" customFormat="1" x14ac:dyDescent="0.25">
      <c r="A183" s="60">
        <v>59</v>
      </c>
      <c r="B183" s="26" t="s">
        <v>494</v>
      </c>
      <c r="C183" s="48" t="s">
        <v>299</v>
      </c>
      <c r="D183" s="28">
        <v>5416</v>
      </c>
      <c r="E183" s="28">
        <v>2</v>
      </c>
      <c r="F183" s="28" t="s">
        <v>9</v>
      </c>
      <c r="G183" s="55" t="s">
        <v>584</v>
      </c>
      <c r="H183" s="28" t="s">
        <v>6</v>
      </c>
      <c r="I183" s="28" t="s">
        <v>135</v>
      </c>
      <c r="J183" s="50"/>
    </row>
    <row r="184" spans="1:10" s="1" customFormat="1" ht="192" x14ac:dyDescent="0.25">
      <c r="A184" s="60">
        <v>60</v>
      </c>
      <c r="B184" s="26" t="s">
        <v>497</v>
      </c>
      <c r="C184" s="48" t="s">
        <v>299</v>
      </c>
      <c r="D184" s="28">
        <v>5417</v>
      </c>
      <c r="E184" s="28">
        <v>2</v>
      </c>
      <c r="F184" s="28" t="s">
        <v>9</v>
      </c>
      <c r="G184" s="55" t="s">
        <v>693</v>
      </c>
      <c r="H184" s="28" t="s">
        <v>6</v>
      </c>
      <c r="I184" s="28" t="s">
        <v>135</v>
      </c>
      <c r="J184" s="50"/>
    </row>
    <row r="185" spans="1:10" s="1" customFormat="1" x14ac:dyDescent="0.25">
      <c r="A185" s="60">
        <v>61</v>
      </c>
      <c r="B185" s="26" t="s">
        <v>71</v>
      </c>
      <c r="C185" s="48" t="s">
        <v>299</v>
      </c>
      <c r="D185" s="28">
        <v>5418</v>
      </c>
      <c r="E185" s="28">
        <v>2</v>
      </c>
      <c r="F185" s="28" t="s">
        <v>9</v>
      </c>
      <c r="G185" s="26" t="s">
        <v>375</v>
      </c>
      <c r="H185" s="28" t="s">
        <v>6</v>
      </c>
      <c r="I185" s="28" t="s">
        <v>135</v>
      </c>
      <c r="J185" s="50"/>
    </row>
    <row r="186" spans="1:10" s="1" customFormat="1" x14ac:dyDescent="0.25">
      <c r="A186" s="60">
        <v>62</v>
      </c>
      <c r="B186" s="26" t="s">
        <v>72</v>
      </c>
      <c r="C186" s="48" t="s">
        <v>299</v>
      </c>
      <c r="D186" s="28">
        <v>5419</v>
      </c>
      <c r="E186" s="28">
        <v>2</v>
      </c>
      <c r="F186" s="28" t="s">
        <v>9</v>
      </c>
      <c r="G186" s="26" t="s">
        <v>376</v>
      </c>
      <c r="H186" s="28" t="s">
        <v>6</v>
      </c>
      <c r="I186" s="28" t="s">
        <v>135</v>
      </c>
      <c r="J186" s="50"/>
    </row>
    <row r="187" spans="1:10" s="1" customFormat="1" x14ac:dyDescent="0.25">
      <c r="A187" s="60">
        <v>63</v>
      </c>
      <c r="B187" s="26" t="s">
        <v>618</v>
      </c>
      <c r="C187" s="48" t="s">
        <v>299</v>
      </c>
      <c r="D187" s="28">
        <v>5420</v>
      </c>
      <c r="E187" s="28">
        <v>2</v>
      </c>
      <c r="F187" s="28" t="s">
        <v>9</v>
      </c>
      <c r="G187" s="26" t="s">
        <v>377</v>
      </c>
      <c r="H187" s="28" t="s">
        <v>6</v>
      </c>
      <c r="I187" s="28" t="s">
        <v>135</v>
      </c>
      <c r="J187" s="50"/>
    </row>
    <row r="188" spans="1:10" s="1" customFormat="1" x14ac:dyDescent="0.25">
      <c r="A188" s="60">
        <v>64</v>
      </c>
      <c r="B188" s="26" t="s">
        <v>619</v>
      </c>
      <c r="C188" s="48" t="s">
        <v>299</v>
      </c>
      <c r="D188" s="28">
        <v>5421</v>
      </c>
      <c r="E188" s="28">
        <v>2</v>
      </c>
      <c r="F188" s="28" t="s">
        <v>9</v>
      </c>
      <c r="G188" s="26" t="s">
        <v>378</v>
      </c>
      <c r="H188" s="28" t="s">
        <v>6</v>
      </c>
      <c r="I188" s="28" t="s">
        <v>135</v>
      </c>
      <c r="J188" s="50"/>
    </row>
    <row r="189" spans="1:10" s="1" customFormat="1" ht="48" x14ac:dyDescent="0.25">
      <c r="A189" s="60">
        <v>65</v>
      </c>
      <c r="B189" s="55" t="s">
        <v>484</v>
      </c>
      <c r="C189" s="75" t="s">
        <v>483</v>
      </c>
      <c r="D189" s="64">
        <v>5422</v>
      </c>
      <c r="E189" s="64">
        <v>2</v>
      </c>
      <c r="F189" s="64" t="s">
        <v>9</v>
      </c>
      <c r="G189" s="55" t="s">
        <v>489</v>
      </c>
      <c r="H189" s="64" t="s">
        <v>6</v>
      </c>
      <c r="I189" s="64" t="s">
        <v>125</v>
      </c>
      <c r="J189" s="71"/>
    </row>
    <row r="190" spans="1:10" s="1" customFormat="1" ht="36" x14ac:dyDescent="0.25">
      <c r="A190" s="60">
        <v>66</v>
      </c>
      <c r="B190" s="55" t="s">
        <v>485</v>
      </c>
      <c r="C190" s="75" t="s">
        <v>483</v>
      </c>
      <c r="D190" s="64">
        <v>5423</v>
      </c>
      <c r="E190" s="64">
        <v>2</v>
      </c>
      <c r="F190" s="64" t="s">
        <v>9</v>
      </c>
      <c r="G190" s="55" t="s">
        <v>490</v>
      </c>
      <c r="H190" s="64" t="s">
        <v>6</v>
      </c>
      <c r="I190" s="64" t="s">
        <v>125</v>
      </c>
      <c r="J190" s="71"/>
    </row>
    <row r="191" spans="1:10" s="1" customFormat="1" x14ac:dyDescent="0.25">
      <c r="A191" s="60">
        <v>67</v>
      </c>
      <c r="B191" s="55" t="s">
        <v>486</v>
      </c>
      <c r="C191" s="75" t="s">
        <v>299</v>
      </c>
      <c r="D191" s="64">
        <v>5424</v>
      </c>
      <c r="E191" s="64">
        <v>2</v>
      </c>
      <c r="F191" s="64" t="s">
        <v>9</v>
      </c>
      <c r="G191" s="55" t="s">
        <v>488</v>
      </c>
      <c r="H191" s="64" t="s">
        <v>6</v>
      </c>
      <c r="I191" s="64" t="s">
        <v>125</v>
      </c>
      <c r="J191" s="71"/>
    </row>
    <row r="192" spans="1:10" s="1" customFormat="1" x14ac:dyDescent="0.25">
      <c r="A192" s="60">
        <v>68</v>
      </c>
      <c r="B192" s="55" t="s">
        <v>487</v>
      </c>
      <c r="C192" s="75" t="s">
        <v>299</v>
      </c>
      <c r="D192" s="64">
        <v>5425</v>
      </c>
      <c r="E192" s="64">
        <v>2</v>
      </c>
      <c r="F192" s="64" t="s">
        <v>9</v>
      </c>
      <c r="G192" s="55" t="s">
        <v>488</v>
      </c>
      <c r="H192" s="64" t="s">
        <v>6</v>
      </c>
      <c r="I192" s="64" t="s">
        <v>125</v>
      </c>
      <c r="J192" s="71"/>
    </row>
    <row r="193" spans="1:10" s="1" customFormat="1" ht="24" x14ac:dyDescent="0.25">
      <c r="A193" s="60">
        <v>69</v>
      </c>
      <c r="B193" s="55" t="s">
        <v>492</v>
      </c>
      <c r="C193" s="75" t="s">
        <v>299</v>
      </c>
      <c r="D193" s="64">
        <v>5426</v>
      </c>
      <c r="E193" s="64">
        <v>2</v>
      </c>
      <c r="F193" s="64" t="s">
        <v>9</v>
      </c>
      <c r="G193" s="55" t="s">
        <v>495</v>
      </c>
      <c r="H193" s="64" t="s">
        <v>6</v>
      </c>
      <c r="I193" s="64" t="s">
        <v>125</v>
      </c>
      <c r="J193" s="71"/>
    </row>
    <row r="194" spans="1:10" s="1" customFormat="1" ht="24" x14ac:dyDescent="0.25">
      <c r="A194" s="60">
        <v>70</v>
      </c>
      <c r="B194" s="55" t="s">
        <v>500</v>
      </c>
      <c r="C194" s="75" t="s">
        <v>299</v>
      </c>
      <c r="D194" s="64">
        <v>5427</v>
      </c>
      <c r="E194" s="64">
        <v>2</v>
      </c>
      <c r="F194" s="64" t="s">
        <v>9</v>
      </c>
      <c r="G194" s="55" t="s">
        <v>496</v>
      </c>
      <c r="H194" s="64" t="s">
        <v>6</v>
      </c>
      <c r="I194" s="64" t="s">
        <v>125</v>
      </c>
      <c r="J194" s="71"/>
    </row>
    <row r="195" spans="1:10" s="1" customFormat="1" ht="24" x14ac:dyDescent="0.25">
      <c r="A195" s="60">
        <v>71</v>
      </c>
      <c r="B195" s="55" t="s">
        <v>491</v>
      </c>
      <c r="C195" s="75" t="s">
        <v>299</v>
      </c>
      <c r="D195" s="64">
        <v>5428</v>
      </c>
      <c r="E195" s="64">
        <v>2</v>
      </c>
      <c r="F195" s="64" t="s">
        <v>9</v>
      </c>
      <c r="G195" s="55" t="s">
        <v>501</v>
      </c>
      <c r="H195" s="64" t="s">
        <v>6</v>
      </c>
      <c r="I195" s="64" t="s">
        <v>125</v>
      </c>
      <c r="J195" s="71"/>
    </row>
    <row r="196" spans="1:10" s="1" customFormat="1" ht="24" x14ac:dyDescent="0.25">
      <c r="A196" s="60">
        <v>72</v>
      </c>
      <c r="B196" s="55" t="s">
        <v>499</v>
      </c>
      <c r="C196" s="75" t="s">
        <v>299</v>
      </c>
      <c r="D196" s="64">
        <v>5429</v>
      </c>
      <c r="E196" s="64">
        <v>2</v>
      </c>
      <c r="F196" s="64" t="s">
        <v>9</v>
      </c>
      <c r="G196" s="55" t="s">
        <v>502</v>
      </c>
      <c r="H196" s="64" t="s">
        <v>6</v>
      </c>
      <c r="I196" s="64" t="s">
        <v>125</v>
      </c>
      <c r="J196" s="71"/>
    </row>
    <row r="197" spans="1:10" s="1" customFormat="1" ht="24" x14ac:dyDescent="0.25">
      <c r="A197" s="60">
        <v>73</v>
      </c>
      <c r="B197" s="55" t="s">
        <v>498</v>
      </c>
      <c r="C197" s="75" t="s">
        <v>299</v>
      </c>
      <c r="D197" s="64">
        <v>5430</v>
      </c>
      <c r="E197" s="64">
        <v>2</v>
      </c>
      <c r="F197" s="64" t="s">
        <v>9</v>
      </c>
      <c r="G197" s="55" t="s">
        <v>585</v>
      </c>
      <c r="H197" s="64" t="s">
        <v>6</v>
      </c>
      <c r="I197" s="64" t="s">
        <v>125</v>
      </c>
      <c r="J197" s="71"/>
    </row>
    <row r="198" spans="1:10" s="1" customFormat="1" x14ac:dyDescent="0.25">
      <c r="A198" s="60">
        <v>74</v>
      </c>
      <c r="B198" s="55" t="s">
        <v>581</v>
      </c>
      <c r="C198" s="75" t="s">
        <v>299</v>
      </c>
      <c r="D198" s="64">
        <v>5431</v>
      </c>
      <c r="E198" s="64">
        <v>2</v>
      </c>
      <c r="F198" s="64" t="s">
        <v>9</v>
      </c>
      <c r="G198" s="55" t="s">
        <v>583</v>
      </c>
      <c r="H198" s="64" t="s">
        <v>6</v>
      </c>
      <c r="I198" s="64" t="s">
        <v>125</v>
      </c>
      <c r="J198" s="71"/>
    </row>
    <row r="199" spans="1:10" s="1" customFormat="1" ht="36" x14ac:dyDescent="0.25">
      <c r="A199" s="60">
        <v>75</v>
      </c>
      <c r="B199" s="55" t="s">
        <v>586</v>
      </c>
      <c r="C199" s="75" t="s">
        <v>299</v>
      </c>
      <c r="D199" s="64">
        <v>5432</v>
      </c>
      <c r="E199" s="64">
        <v>2</v>
      </c>
      <c r="F199" s="64" t="s">
        <v>9</v>
      </c>
      <c r="G199" s="55" t="s">
        <v>588</v>
      </c>
      <c r="H199" s="64" t="s">
        <v>6</v>
      </c>
      <c r="I199" s="64" t="s">
        <v>125</v>
      </c>
      <c r="J199" s="71"/>
    </row>
    <row r="200" spans="1:10" s="1" customFormat="1" ht="96" x14ac:dyDescent="0.25">
      <c r="A200" s="60">
        <v>76</v>
      </c>
      <c r="B200" s="55" t="s">
        <v>587</v>
      </c>
      <c r="C200" s="75" t="s">
        <v>299</v>
      </c>
      <c r="D200" s="64">
        <v>5433</v>
      </c>
      <c r="E200" s="64">
        <v>2</v>
      </c>
      <c r="F200" s="64" t="s">
        <v>9</v>
      </c>
      <c r="G200" s="55" t="s">
        <v>589</v>
      </c>
      <c r="H200" s="64" t="s">
        <v>6</v>
      </c>
      <c r="I200" s="64" t="s">
        <v>125</v>
      </c>
      <c r="J200" s="71"/>
    </row>
    <row r="201" spans="1:10" s="1" customFormat="1" x14ac:dyDescent="0.25">
      <c r="A201" s="60"/>
      <c r="B201" s="7"/>
      <c r="C201" s="43"/>
      <c r="D201" s="25"/>
      <c r="E201" s="25"/>
      <c r="F201" s="25"/>
      <c r="G201" s="7"/>
      <c r="H201" s="25"/>
      <c r="I201" s="25"/>
      <c r="J201" s="45"/>
    </row>
    <row r="202" spans="1:10" s="1" customFormat="1" x14ac:dyDescent="0.25">
      <c r="A202" s="118" t="s">
        <v>176</v>
      </c>
      <c r="B202" s="119"/>
      <c r="C202" s="119"/>
      <c r="D202" s="119"/>
      <c r="E202" s="119"/>
      <c r="F202" s="119"/>
      <c r="G202" s="119"/>
      <c r="H202" s="119"/>
      <c r="I202" s="119"/>
      <c r="J202" s="120"/>
    </row>
    <row r="203" spans="1:10" s="1" customFormat="1" x14ac:dyDescent="0.25">
      <c r="A203" s="112" t="s">
        <v>254</v>
      </c>
      <c r="B203" s="113"/>
      <c r="C203" s="113"/>
      <c r="D203" s="113"/>
      <c r="E203" s="113"/>
      <c r="F203" s="113"/>
      <c r="G203" s="113"/>
      <c r="H203" s="113"/>
      <c r="I203" s="113"/>
      <c r="J203" s="114"/>
    </row>
    <row r="204" spans="1:10" x14ac:dyDescent="0.25">
      <c r="A204" s="49">
        <v>1</v>
      </c>
      <c r="B204" s="26" t="s">
        <v>105</v>
      </c>
      <c r="C204" s="26" t="s">
        <v>351</v>
      </c>
      <c r="D204" s="28">
        <v>1</v>
      </c>
      <c r="E204" s="28">
        <v>2</v>
      </c>
      <c r="F204" s="28" t="s">
        <v>9</v>
      </c>
      <c r="G204" s="26" t="s">
        <v>10</v>
      </c>
      <c r="H204" s="28" t="s">
        <v>11</v>
      </c>
      <c r="I204" s="28" t="s">
        <v>104</v>
      </c>
      <c r="J204" s="50" t="s">
        <v>177</v>
      </c>
    </row>
    <row r="205" spans="1:10" x14ac:dyDescent="0.25">
      <c r="A205" s="49">
        <v>2</v>
      </c>
      <c r="B205" s="26" t="s">
        <v>106</v>
      </c>
      <c r="C205" s="26" t="s">
        <v>351</v>
      </c>
      <c r="D205" s="28">
        <v>2</v>
      </c>
      <c r="E205" s="28">
        <v>2</v>
      </c>
      <c r="F205" s="28" t="s">
        <v>9</v>
      </c>
      <c r="G205" s="26" t="s">
        <v>10</v>
      </c>
      <c r="H205" s="28" t="s">
        <v>11</v>
      </c>
      <c r="I205" s="28" t="s">
        <v>104</v>
      </c>
      <c r="J205" s="50"/>
    </row>
    <row r="206" spans="1:10" x14ac:dyDescent="0.25">
      <c r="A206" s="42" t="s">
        <v>226</v>
      </c>
      <c r="B206" s="43" t="s">
        <v>226</v>
      </c>
      <c r="C206" s="43"/>
      <c r="D206" s="44" t="s">
        <v>226</v>
      </c>
      <c r="E206" s="44" t="s">
        <v>226</v>
      </c>
      <c r="F206" s="44" t="s">
        <v>226</v>
      </c>
      <c r="G206" s="6" t="s">
        <v>181</v>
      </c>
      <c r="H206" s="44" t="s">
        <v>226</v>
      </c>
      <c r="I206" s="44" t="s">
        <v>181</v>
      </c>
      <c r="J206" s="45"/>
    </row>
    <row r="207" spans="1:10" x14ac:dyDescent="0.25">
      <c r="A207" s="49">
        <f>D2-1</f>
        <v>15</v>
      </c>
      <c r="B207" s="26" t="s">
        <v>352</v>
      </c>
      <c r="C207" s="26" t="s">
        <v>351</v>
      </c>
      <c r="D207" s="28">
        <f>D208-1</f>
        <v>15</v>
      </c>
      <c r="E207" s="28">
        <v>2</v>
      </c>
      <c r="F207" s="28" t="s">
        <v>9</v>
      </c>
      <c r="G207" s="26" t="s">
        <v>10</v>
      </c>
      <c r="H207" s="28" t="s">
        <v>11</v>
      </c>
      <c r="I207" s="28" t="s">
        <v>104</v>
      </c>
      <c r="J207" s="50"/>
    </row>
    <row r="208" spans="1:10" x14ac:dyDescent="0.25">
      <c r="A208" s="49">
        <f>D2</f>
        <v>16</v>
      </c>
      <c r="B208" s="26" t="s">
        <v>353</v>
      </c>
      <c r="C208" s="26" t="s">
        <v>351</v>
      </c>
      <c r="D208" s="28">
        <f>D2+D204-1</f>
        <v>16</v>
      </c>
      <c r="E208" s="28">
        <v>2</v>
      </c>
      <c r="F208" s="28" t="s">
        <v>9</v>
      </c>
      <c r="G208" s="26" t="s">
        <v>10</v>
      </c>
      <c r="H208" s="28" t="s">
        <v>11</v>
      </c>
      <c r="I208" s="28" t="s">
        <v>104</v>
      </c>
      <c r="J208" s="50"/>
    </row>
    <row r="209" spans="1:10" x14ac:dyDescent="0.25">
      <c r="A209" s="51">
        <f>D2+1</f>
        <v>17</v>
      </c>
      <c r="B209" s="27" t="s">
        <v>178</v>
      </c>
      <c r="C209" s="27" t="s">
        <v>351</v>
      </c>
      <c r="D209" s="52">
        <f>D208+1</f>
        <v>17</v>
      </c>
      <c r="E209" s="52">
        <v>2</v>
      </c>
      <c r="F209" s="52" t="s">
        <v>9</v>
      </c>
      <c r="G209" s="27" t="s">
        <v>10</v>
      </c>
      <c r="H209" s="52" t="s">
        <v>11</v>
      </c>
      <c r="I209" s="52" t="s">
        <v>354</v>
      </c>
      <c r="J209" s="53"/>
    </row>
    <row r="210" spans="1:10" x14ac:dyDescent="0.25">
      <c r="A210" s="51">
        <f>D2+2</f>
        <v>18</v>
      </c>
      <c r="B210" s="27" t="s">
        <v>179</v>
      </c>
      <c r="C210" s="27" t="s">
        <v>351</v>
      </c>
      <c r="D210" s="52">
        <f>D209+1</f>
        <v>18</v>
      </c>
      <c r="E210" s="52">
        <v>2</v>
      </c>
      <c r="F210" s="52" t="s">
        <v>9</v>
      </c>
      <c r="G210" s="27" t="s">
        <v>10</v>
      </c>
      <c r="H210" s="52" t="s">
        <v>11</v>
      </c>
      <c r="I210" s="52" t="s">
        <v>354</v>
      </c>
      <c r="J210" s="53"/>
    </row>
    <row r="211" spans="1:10" x14ac:dyDescent="0.25">
      <c r="A211" s="51" t="s">
        <v>181</v>
      </c>
      <c r="B211" s="27" t="s">
        <v>181</v>
      </c>
      <c r="C211" s="27"/>
      <c r="D211" s="52" t="s">
        <v>226</v>
      </c>
      <c r="E211" s="52" t="s">
        <v>226</v>
      </c>
      <c r="F211" s="52" t="s">
        <v>226</v>
      </c>
      <c r="G211" s="27" t="s">
        <v>181</v>
      </c>
      <c r="H211" s="52" t="s">
        <v>226</v>
      </c>
      <c r="I211" s="52" t="s">
        <v>181</v>
      </c>
      <c r="J211" s="53"/>
    </row>
    <row r="212" spans="1:10" x14ac:dyDescent="0.25">
      <c r="A212" s="51">
        <f>A213-1</f>
        <v>31</v>
      </c>
      <c r="B212" s="27" t="s">
        <v>255</v>
      </c>
      <c r="C212" s="27" t="s">
        <v>351</v>
      </c>
      <c r="D212" s="52">
        <f>D213-1</f>
        <v>31</v>
      </c>
      <c r="E212" s="52">
        <v>2</v>
      </c>
      <c r="F212" s="52" t="s">
        <v>9</v>
      </c>
      <c r="G212" s="27" t="s">
        <v>10</v>
      </c>
      <c r="H212" s="52" t="s">
        <v>11</v>
      </c>
      <c r="I212" s="52" t="s">
        <v>355</v>
      </c>
      <c r="J212" s="53"/>
    </row>
    <row r="213" spans="1:10" x14ac:dyDescent="0.25">
      <c r="A213" s="51">
        <f>2*D2</f>
        <v>32</v>
      </c>
      <c r="B213" s="27" t="s">
        <v>256</v>
      </c>
      <c r="C213" s="27" t="s">
        <v>351</v>
      </c>
      <c r="D213" s="52">
        <f>2*D2+D204-1</f>
        <v>32</v>
      </c>
      <c r="E213" s="52">
        <v>2</v>
      </c>
      <c r="F213" s="52" t="s">
        <v>9</v>
      </c>
      <c r="G213" s="27" t="s">
        <v>10</v>
      </c>
      <c r="H213" s="52" t="s">
        <v>11</v>
      </c>
      <c r="I213" s="52" t="s">
        <v>355</v>
      </c>
      <c r="J213" s="53"/>
    </row>
    <row r="214" spans="1:10" x14ac:dyDescent="0.25">
      <c r="A214" s="121" t="s">
        <v>257</v>
      </c>
      <c r="B214" s="122"/>
      <c r="C214" s="122"/>
      <c r="D214" s="122"/>
      <c r="E214" s="122"/>
      <c r="F214" s="122"/>
      <c r="G214" s="122"/>
      <c r="H214" s="122"/>
      <c r="I214" s="122"/>
      <c r="J214" s="123"/>
    </row>
    <row r="215" spans="1:10" x14ac:dyDescent="0.25">
      <c r="A215" s="49">
        <f>(F2-2)*D2+1</f>
        <v>193</v>
      </c>
      <c r="B215" s="26" t="s">
        <v>258</v>
      </c>
      <c r="C215" s="26" t="s">
        <v>351</v>
      </c>
      <c r="D215" s="28">
        <f>(F2-2)*D2+D204</f>
        <v>193</v>
      </c>
      <c r="E215" s="28">
        <v>2</v>
      </c>
      <c r="F215" s="28" t="s">
        <v>9</v>
      </c>
      <c r="G215" s="26" t="s">
        <v>10</v>
      </c>
      <c r="H215" s="28" t="s">
        <v>11</v>
      </c>
      <c r="I215" s="28" t="s">
        <v>262</v>
      </c>
      <c r="J215" s="50"/>
    </row>
    <row r="216" spans="1:10" x14ac:dyDescent="0.25">
      <c r="A216" s="49">
        <f>A215+1</f>
        <v>194</v>
      </c>
      <c r="B216" s="26" t="s">
        <v>259</v>
      </c>
      <c r="C216" s="26" t="s">
        <v>351</v>
      </c>
      <c r="D216" s="28">
        <f>D215+1</f>
        <v>194</v>
      </c>
      <c r="E216" s="28">
        <v>2</v>
      </c>
      <c r="F216" s="28" t="s">
        <v>9</v>
      </c>
      <c r="G216" s="26" t="s">
        <v>10</v>
      </c>
      <c r="H216" s="28" t="s">
        <v>11</v>
      </c>
      <c r="I216" s="28" t="s">
        <v>262</v>
      </c>
      <c r="J216" s="50"/>
    </row>
    <row r="217" spans="1:10" x14ac:dyDescent="0.25">
      <c r="A217" s="42" t="s">
        <v>226</v>
      </c>
      <c r="B217" s="43" t="s">
        <v>226</v>
      </c>
      <c r="C217" s="43"/>
      <c r="D217" s="44" t="s">
        <v>226</v>
      </c>
      <c r="E217" s="44" t="s">
        <v>226</v>
      </c>
      <c r="F217" s="44" t="s">
        <v>226</v>
      </c>
      <c r="G217" s="6" t="s">
        <v>181</v>
      </c>
      <c r="H217" s="44" t="s">
        <v>226</v>
      </c>
      <c r="I217" s="44" t="s">
        <v>181</v>
      </c>
      <c r="J217" s="45"/>
    </row>
    <row r="218" spans="1:10" x14ac:dyDescent="0.25">
      <c r="A218" s="49">
        <f>A219-1</f>
        <v>207</v>
      </c>
      <c r="B218" s="26" t="s">
        <v>260</v>
      </c>
      <c r="C218" s="26" t="s">
        <v>351</v>
      </c>
      <c r="D218" s="28">
        <f>D219-1</f>
        <v>207</v>
      </c>
      <c r="E218" s="28">
        <v>2</v>
      </c>
      <c r="F218" s="28" t="s">
        <v>9</v>
      </c>
      <c r="G218" s="26" t="s">
        <v>10</v>
      </c>
      <c r="H218" s="28" t="s">
        <v>11</v>
      </c>
      <c r="I218" s="28" t="s">
        <v>262</v>
      </c>
      <c r="J218" s="50"/>
    </row>
    <row r="219" spans="1:10" x14ac:dyDescent="0.25">
      <c r="A219" s="49">
        <f>(F2-1)*D2</f>
        <v>208</v>
      </c>
      <c r="B219" s="26" t="s">
        <v>261</v>
      </c>
      <c r="C219" s="26" t="s">
        <v>351</v>
      </c>
      <c r="D219" s="28">
        <f>(F2-1)*D2+D204-1</f>
        <v>208</v>
      </c>
      <c r="E219" s="28">
        <v>2</v>
      </c>
      <c r="F219" s="28" t="s">
        <v>9</v>
      </c>
      <c r="G219" s="26" t="s">
        <v>10</v>
      </c>
      <c r="H219" s="28" t="s">
        <v>11</v>
      </c>
      <c r="I219" s="28" t="s">
        <v>262</v>
      </c>
      <c r="J219" s="50"/>
    </row>
    <row r="220" spans="1:10" x14ac:dyDescent="0.25">
      <c r="A220" s="51">
        <f>(F2-1)*D2+1</f>
        <v>209</v>
      </c>
      <c r="B220" s="27" t="s">
        <v>263</v>
      </c>
      <c r="C220" s="27" t="s">
        <v>351</v>
      </c>
      <c r="D220" s="52">
        <f>(F2-1)*D2+D204</f>
        <v>209</v>
      </c>
      <c r="E220" s="52">
        <v>2</v>
      </c>
      <c r="F220" s="52" t="s">
        <v>9</v>
      </c>
      <c r="G220" s="27" t="s">
        <v>10</v>
      </c>
      <c r="H220" s="52" t="s">
        <v>11</v>
      </c>
      <c r="I220" s="52" t="s">
        <v>267</v>
      </c>
      <c r="J220" s="53"/>
    </row>
    <row r="221" spans="1:10" x14ac:dyDescent="0.25">
      <c r="A221" s="51">
        <f>A220+1</f>
        <v>210</v>
      </c>
      <c r="B221" s="27" t="s">
        <v>264</v>
      </c>
      <c r="C221" s="27" t="s">
        <v>351</v>
      </c>
      <c r="D221" s="52">
        <f>D220+1</f>
        <v>210</v>
      </c>
      <c r="E221" s="52">
        <v>2</v>
      </c>
      <c r="F221" s="52" t="s">
        <v>9</v>
      </c>
      <c r="G221" s="27" t="s">
        <v>10</v>
      </c>
      <c r="H221" s="52" t="s">
        <v>11</v>
      </c>
      <c r="I221" s="52" t="s">
        <v>267</v>
      </c>
      <c r="J221" s="53"/>
    </row>
    <row r="222" spans="1:10" x14ac:dyDescent="0.25">
      <c r="A222" s="51" t="s">
        <v>181</v>
      </c>
      <c r="B222" s="27" t="s">
        <v>181</v>
      </c>
      <c r="C222" s="27"/>
      <c r="D222" s="52" t="s">
        <v>226</v>
      </c>
      <c r="E222" s="52" t="s">
        <v>226</v>
      </c>
      <c r="F222" s="52" t="s">
        <v>226</v>
      </c>
      <c r="G222" s="27" t="s">
        <v>181</v>
      </c>
      <c r="H222" s="52" t="s">
        <v>226</v>
      </c>
      <c r="I222" s="52" t="s">
        <v>181</v>
      </c>
      <c r="J222" s="53"/>
    </row>
    <row r="223" spans="1:10" x14ac:dyDescent="0.25">
      <c r="A223" s="51">
        <f>A224-1</f>
        <v>223</v>
      </c>
      <c r="B223" s="27" t="s">
        <v>265</v>
      </c>
      <c r="C223" s="27" t="s">
        <v>351</v>
      </c>
      <c r="D223" s="52">
        <f>D224-1</f>
        <v>223</v>
      </c>
      <c r="E223" s="52">
        <v>2</v>
      </c>
      <c r="F223" s="52" t="s">
        <v>9</v>
      </c>
      <c r="G223" s="27" t="s">
        <v>10</v>
      </c>
      <c r="H223" s="52" t="s">
        <v>11</v>
      </c>
      <c r="I223" s="52" t="s">
        <v>267</v>
      </c>
      <c r="J223" s="53"/>
    </row>
    <row r="224" spans="1:10" x14ac:dyDescent="0.25">
      <c r="A224" s="51">
        <f>F2*D2</f>
        <v>224</v>
      </c>
      <c r="B224" s="27" t="s">
        <v>266</v>
      </c>
      <c r="C224" s="27" t="s">
        <v>351</v>
      </c>
      <c r="D224" s="52">
        <f>F2*D2+D204-1</f>
        <v>224</v>
      </c>
      <c r="E224" s="52">
        <v>2</v>
      </c>
      <c r="F224" s="52" t="s">
        <v>9</v>
      </c>
      <c r="G224" s="27" t="s">
        <v>10</v>
      </c>
      <c r="H224" s="52" t="s">
        <v>11</v>
      </c>
      <c r="I224" s="52" t="s">
        <v>267</v>
      </c>
      <c r="J224" s="53"/>
    </row>
    <row r="225" spans="1:10" x14ac:dyDescent="0.25">
      <c r="A225" s="49"/>
      <c r="B225" s="26"/>
      <c r="C225" s="26"/>
      <c r="D225" s="28"/>
      <c r="E225" s="28"/>
      <c r="F225" s="28"/>
      <c r="G225" s="28"/>
      <c r="H225" s="28"/>
      <c r="I225" s="28"/>
      <c r="J225" s="50"/>
    </row>
    <row r="226" spans="1:10" x14ac:dyDescent="0.25">
      <c r="A226" s="112" t="s">
        <v>268</v>
      </c>
      <c r="B226" s="113"/>
      <c r="C226" s="113"/>
      <c r="D226" s="113"/>
      <c r="E226" s="113"/>
      <c r="F226" s="113"/>
      <c r="G226" s="113"/>
      <c r="H226" s="113"/>
      <c r="I226" s="113"/>
      <c r="J226" s="114"/>
    </row>
    <row r="227" spans="1:10" x14ac:dyDescent="0.25">
      <c r="A227" s="49">
        <v>1</v>
      </c>
      <c r="B227" s="26" t="s">
        <v>107</v>
      </c>
      <c r="C227" s="26" t="s">
        <v>351</v>
      </c>
      <c r="D227" s="28">
        <v>4096</v>
      </c>
      <c r="E227" s="28">
        <v>2</v>
      </c>
      <c r="F227" s="28" t="s">
        <v>12</v>
      </c>
      <c r="G227" s="26" t="s">
        <v>13</v>
      </c>
      <c r="H227" s="28" t="s">
        <v>11</v>
      </c>
      <c r="I227" s="28" t="s">
        <v>104</v>
      </c>
      <c r="J227" s="50" t="s">
        <v>159</v>
      </c>
    </row>
    <row r="228" spans="1:10" x14ac:dyDescent="0.25">
      <c r="A228" s="49">
        <v>2</v>
      </c>
      <c r="B228" s="26" t="s">
        <v>108</v>
      </c>
      <c r="C228" s="26" t="s">
        <v>351</v>
      </c>
      <c r="D228" s="28">
        <v>4097</v>
      </c>
      <c r="E228" s="28">
        <v>2</v>
      </c>
      <c r="F228" s="28" t="s">
        <v>12</v>
      </c>
      <c r="G228" s="26" t="s">
        <v>13</v>
      </c>
      <c r="H228" s="28" t="s">
        <v>11</v>
      </c>
      <c r="I228" s="28" t="s">
        <v>104</v>
      </c>
      <c r="J228" s="50"/>
    </row>
    <row r="229" spans="1:10" x14ac:dyDescent="0.25">
      <c r="A229" s="42" t="s">
        <v>226</v>
      </c>
      <c r="B229" s="43" t="s">
        <v>226</v>
      </c>
      <c r="C229" s="43"/>
      <c r="D229" s="44" t="s">
        <v>226</v>
      </c>
      <c r="E229" s="44" t="s">
        <v>226</v>
      </c>
      <c r="F229" s="44" t="s">
        <v>226</v>
      </c>
      <c r="G229" s="6" t="s">
        <v>181</v>
      </c>
      <c r="H229" s="44" t="s">
        <v>226</v>
      </c>
      <c r="I229" s="44" t="s">
        <v>181</v>
      </c>
      <c r="J229" s="45"/>
    </row>
    <row r="230" spans="1:10" x14ac:dyDescent="0.25">
      <c r="A230" s="49">
        <f>A227+H2-1</f>
        <v>6</v>
      </c>
      <c r="B230" s="26" t="s">
        <v>356</v>
      </c>
      <c r="C230" s="26" t="s">
        <v>351</v>
      </c>
      <c r="D230" s="28">
        <f>D227+H2-1</f>
        <v>4101</v>
      </c>
      <c r="E230" s="28">
        <v>2</v>
      </c>
      <c r="F230" s="28" t="s">
        <v>12</v>
      </c>
      <c r="G230" s="26" t="s">
        <v>13</v>
      </c>
      <c r="H230" s="28" t="s">
        <v>11</v>
      </c>
      <c r="I230" s="28" t="s">
        <v>104</v>
      </c>
      <c r="J230" s="50"/>
    </row>
    <row r="231" spans="1:10" x14ac:dyDescent="0.25">
      <c r="A231" s="49">
        <f>A230+1</f>
        <v>7</v>
      </c>
      <c r="B231" s="26" t="s">
        <v>269</v>
      </c>
      <c r="C231" s="26" t="s">
        <v>351</v>
      </c>
      <c r="D231" s="28">
        <f>D230+1</f>
        <v>4102</v>
      </c>
      <c r="E231" s="28">
        <v>2</v>
      </c>
      <c r="F231" s="28" t="s">
        <v>12</v>
      </c>
      <c r="G231" s="26" t="s">
        <v>13</v>
      </c>
      <c r="H231" s="28" t="s">
        <v>11</v>
      </c>
      <c r="I231" s="28" t="s">
        <v>104</v>
      </c>
      <c r="J231" s="50"/>
    </row>
    <row r="232" spans="1:10" x14ac:dyDescent="0.25">
      <c r="A232" s="42" t="s">
        <v>226</v>
      </c>
      <c r="B232" s="43" t="s">
        <v>226</v>
      </c>
      <c r="C232" s="43"/>
      <c r="D232" s="44" t="s">
        <v>226</v>
      </c>
      <c r="E232" s="44" t="s">
        <v>226</v>
      </c>
      <c r="F232" s="44" t="s">
        <v>226</v>
      </c>
      <c r="G232" s="6" t="s">
        <v>181</v>
      </c>
      <c r="H232" s="44" t="s">
        <v>226</v>
      </c>
      <c r="I232" s="44" t="s">
        <v>181</v>
      </c>
      <c r="J232" s="45"/>
    </row>
    <row r="233" spans="1:10" x14ac:dyDescent="0.25">
      <c r="A233" s="49">
        <f>A231+J2-1</f>
        <v>8</v>
      </c>
      <c r="B233" s="26" t="s">
        <v>270</v>
      </c>
      <c r="C233" s="26" t="s">
        <v>351</v>
      </c>
      <c r="D233" s="28">
        <f>D231+J2-1</f>
        <v>4103</v>
      </c>
      <c r="E233" s="28">
        <v>2</v>
      </c>
      <c r="F233" s="28" t="s">
        <v>12</v>
      </c>
      <c r="G233" s="26" t="s">
        <v>13</v>
      </c>
      <c r="H233" s="28" t="s">
        <v>11</v>
      </c>
      <c r="I233" s="28" t="s">
        <v>104</v>
      </c>
      <c r="J233" s="50"/>
    </row>
    <row r="234" spans="1:10" x14ac:dyDescent="0.25">
      <c r="A234" s="51">
        <f>A233+1</f>
        <v>9</v>
      </c>
      <c r="B234" s="27" t="s">
        <v>184</v>
      </c>
      <c r="C234" s="27" t="s">
        <v>351</v>
      </c>
      <c r="D234" s="52">
        <f>D233+1</f>
        <v>4104</v>
      </c>
      <c r="E234" s="52">
        <v>2</v>
      </c>
      <c r="F234" s="52" t="s">
        <v>12</v>
      </c>
      <c r="G234" s="27" t="s">
        <v>13</v>
      </c>
      <c r="H234" s="52" t="s">
        <v>11</v>
      </c>
      <c r="I234" s="52" t="s">
        <v>354</v>
      </c>
      <c r="J234" s="53"/>
    </row>
    <row r="235" spans="1:10" x14ac:dyDescent="0.25">
      <c r="A235" s="51">
        <f>A234+1</f>
        <v>10</v>
      </c>
      <c r="B235" s="27" t="s">
        <v>183</v>
      </c>
      <c r="C235" s="27" t="s">
        <v>351</v>
      </c>
      <c r="D235" s="52">
        <f>D234+1</f>
        <v>4105</v>
      </c>
      <c r="E235" s="52">
        <v>2</v>
      </c>
      <c r="F235" s="52" t="s">
        <v>12</v>
      </c>
      <c r="G235" s="27" t="s">
        <v>182</v>
      </c>
      <c r="H235" s="52" t="s">
        <v>11</v>
      </c>
      <c r="I235" s="52" t="s">
        <v>354</v>
      </c>
      <c r="J235" s="53"/>
    </row>
    <row r="236" spans="1:10" x14ac:dyDescent="0.25">
      <c r="A236" s="51" t="s">
        <v>181</v>
      </c>
      <c r="B236" s="27" t="s">
        <v>181</v>
      </c>
      <c r="C236" s="27"/>
      <c r="D236" s="52" t="s">
        <v>226</v>
      </c>
      <c r="E236" s="52" t="s">
        <v>226</v>
      </c>
      <c r="F236" s="52" t="s">
        <v>226</v>
      </c>
      <c r="G236" s="27" t="s">
        <v>181</v>
      </c>
      <c r="H236" s="52" t="s">
        <v>226</v>
      </c>
      <c r="I236" s="52" t="s">
        <v>181</v>
      </c>
      <c r="J236" s="53"/>
    </row>
    <row r="237" spans="1:10" x14ac:dyDescent="0.25">
      <c r="A237" s="51">
        <f>A234+H2-1</f>
        <v>14</v>
      </c>
      <c r="B237" s="27" t="s">
        <v>271</v>
      </c>
      <c r="C237" s="27" t="s">
        <v>351</v>
      </c>
      <c r="D237" s="52">
        <f>D234+H2-1</f>
        <v>4109</v>
      </c>
      <c r="E237" s="52">
        <v>2</v>
      </c>
      <c r="F237" s="52" t="s">
        <v>12</v>
      </c>
      <c r="G237" s="27" t="s">
        <v>13</v>
      </c>
      <c r="H237" s="52" t="s">
        <v>11</v>
      </c>
      <c r="I237" s="52" t="s">
        <v>355</v>
      </c>
      <c r="J237" s="53"/>
    </row>
    <row r="238" spans="1:10" x14ac:dyDescent="0.25">
      <c r="A238" s="51">
        <f>A237+1</f>
        <v>15</v>
      </c>
      <c r="B238" s="27" t="s">
        <v>273</v>
      </c>
      <c r="C238" s="27" t="s">
        <v>351</v>
      </c>
      <c r="D238" s="52">
        <f>D237+1</f>
        <v>4110</v>
      </c>
      <c r="E238" s="52">
        <v>2</v>
      </c>
      <c r="F238" s="52" t="s">
        <v>12</v>
      </c>
      <c r="G238" s="27" t="s">
        <v>13</v>
      </c>
      <c r="H238" s="52" t="s">
        <v>11</v>
      </c>
      <c r="I238" s="52" t="s">
        <v>355</v>
      </c>
      <c r="J238" s="53"/>
    </row>
    <row r="239" spans="1:10" x14ac:dyDescent="0.25">
      <c r="A239" s="51" t="s">
        <v>181</v>
      </c>
      <c r="B239" s="27" t="s">
        <v>181</v>
      </c>
      <c r="C239" s="27"/>
      <c r="D239" s="52" t="s">
        <v>226</v>
      </c>
      <c r="E239" s="52" t="s">
        <v>226</v>
      </c>
      <c r="F239" s="52" t="s">
        <v>226</v>
      </c>
      <c r="G239" s="27" t="s">
        <v>181</v>
      </c>
      <c r="H239" s="52" t="s">
        <v>226</v>
      </c>
      <c r="I239" s="52" t="s">
        <v>181</v>
      </c>
      <c r="J239" s="53"/>
    </row>
    <row r="240" spans="1:10" x14ac:dyDescent="0.25">
      <c r="A240" s="51">
        <f>A238+J2-1</f>
        <v>16</v>
      </c>
      <c r="B240" s="27" t="s">
        <v>272</v>
      </c>
      <c r="C240" s="27" t="s">
        <v>351</v>
      </c>
      <c r="D240" s="52">
        <f>D238+J2-1</f>
        <v>4111</v>
      </c>
      <c r="E240" s="52">
        <v>2</v>
      </c>
      <c r="F240" s="52" t="s">
        <v>12</v>
      </c>
      <c r="G240" s="27" t="s">
        <v>13</v>
      </c>
      <c r="H240" s="52" t="s">
        <v>11</v>
      </c>
      <c r="I240" s="52" t="s">
        <v>355</v>
      </c>
      <c r="J240" s="53"/>
    </row>
    <row r="241" spans="1:10" x14ac:dyDescent="0.25">
      <c r="A241" s="121" t="s">
        <v>257</v>
      </c>
      <c r="B241" s="122"/>
      <c r="C241" s="122"/>
      <c r="D241" s="122"/>
      <c r="E241" s="122"/>
      <c r="F241" s="122"/>
      <c r="G241" s="122"/>
      <c r="H241" s="122"/>
      <c r="I241" s="122"/>
      <c r="J241" s="123"/>
    </row>
    <row r="242" spans="1:10" x14ac:dyDescent="0.25">
      <c r="A242" s="49">
        <f>(F2-2)*(H2+J2)+A227</f>
        <v>97</v>
      </c>
      <c r="B242" s="26" t="s">
        <v>274</v>
      </c>
      <c r="C242" s="26" t="s">
        <v>351</v>
      </c>
      <c r="D242" s="28">
        <f>(F2-2)*(H2+J2)+D227</f>
        <v>4192</v>
      </c>
      <c r="E242" s="28">
        <v>2</v>
      </c>
      <c r="F242" s="28" t="s">
        <v>12</v>
      </c>
      <c r="G242" s="26" t="s">
        <v>13</v>
      </c>
      <c r="H242" s="28" t="s">
        <v>11</v>
      </c>
      <c r="I242" s="28" t="s">
        <v>262</v>
      </c>
      <c r="J242" s="50"/>
    </row>
    <row r="243" spans="1:10" x14ac:dyDescent="0.25">
      <c r="A243" s="49">
        <f>A242+1</f>
        <v>98</v>
      </c>
      <c r="B243" s="26" t="s">
        <v>275</v>
      </c>
      <c r="C243" s="26" t="s">
        <v>351</v>
      </c>
      <c r="D243" s="28">
        <f>D242+1</f>
        <v>4193</v>
      </c>
      <c r="E243" s="28">
        <v>2</v>
      </c>
      <c r="F243" s="28" t="s">
        <v>12</v>
      </c>
      <c r="G243" s="26" t="s">
        <v>13</v>
      </c>
      <c r="H243" s="28" t="s">
        <v>11</v>
      </c>
      <c r="I243" s="28" t="s">
        <v>262</v>
      </c>
      <c r="J243" s="50"/>
    </row>
    <row r="244" spans="1:10" x14ac:dyDescent="0.25">
      <c r="A244" s="42" t="s">
        <v>226</v>
      </c>
      <c r="B244" s="43" t="s">
        <v>226</v>
      </c>
      <c r="C244" s="43"/>
      <c r="D244" s="44" t="s">
        <v>226</v>
      </c>
      <c r="E244" s="44" t="s">
        <v>226</v>
      </c>
      <c r="F244" s="44" t="s">
        <v>226</v>
      </c>
      <c r="G244" s="6" t="s">
        <v>181</v>
      </c>
      <c r="H244" s="44" t="s">
        <v>226</v>
      </c>
      <c r="I244" s="44" t="s">
        <v>181</v>
      </c>
      <c r="J244" s="45"/>
    </row>
    <row r="245" spans="1:10" x14ac:dyDescent="0.25">
      <c r="A245" s="49">
        <f>A242+H2-1</f>
        <v>102</v>
      </c>
      <c r="B245" s="26" t="s">
        <v>276</v>
      </c>
      <c r="C245" s="26" t="s">
        <v>351</v>
      </c>
      <c r="D245" s="28">
        <f>D242+H2-1</f>
        <v>4197</v>
      </c>
      <c r="E245" s="28">
        <v>2</v>
      </c>
      <c r="F245" s="28" t="s">
        <v>12</v>
      </c>
      <c r="G245" s="26" t="s">
        <v>13</v>
      </c>
      <c r="H245" s="28" t="s">
        <v>11</v>
      </c>
      <c r="I245" s="28" t="s">
        <v>262</v>
      </c>
      <c r="J245" s="50"/>
    </row>
    <row r="246" spans="1:10" x14ac:dyDescent="0.25">
      <c r="A246" s="49">
        <f>A245+1</f>
        <v>103</v>
      </c>
      <c r="B246" s="26" t="s">
        <v>278</v>
      </c>
      <c r="C246" s="26" t="s">
        <v>351</v>
      </c>
      <c r="D246" s="28">
        <f>D245+1</f>
        <v>4198</v>
      </c>
      <c r="E246" s="28">
        <v>2</v>
      </c>
      <c r="F246" s="28" t="s">
        <v>12</v>
      </c>
      <c r="G246" s="26" t="s">
        <v>13</v>
      </c>
      <c r="H246" s="28" t="s">
        <v>11</v>
      </c>
      <c r="I246" s="28" t="s">
        <v>262</v>
      </c>
      <c r="J246" s="50"/>
    </row>
    <row r="247" spans="1:10" x14ac:dyDescent="0.25">
      <c r="A247" s="42" t="s">
        <v>226</v>
      </c>
      <c r="B247" s="43" t="s">
        <v>226</v>
      </c>
      <c r="C247" s="43"/>
      <c r="D247" s="44" t="s">
        <v>226</v>
      </c>
      <c r="E247" s="44" t="s">
        <v>226</v>
      </c>
      <c r="F247" s="44" t="s">
        <v>226</v>
      </c>
      <c r="G247" s="6" t="s">
        <v>181</v>
      </c>
      <c r="H247" s="44" t="s">
        <v>226</v>
      </c>
      <c r="I247" s="44" t="s">
        <v>181</v>
      </c>
      <c r="J247" s="45"/>
    </row>
    <row r="248" spans="1:10" x14ac:dyDescent="0.25">
      <c r="A248" s="49">
        <f>A246+J2-1</f>
        <v>104</v>
      </c>
      <c r="B248" s="26" t="s">
        <v>277</v>
      </c>
      <c r="C248" s="26" t="s">
        <v>351</v>
      </c>
      <c r="D248" s="28">
        <f>D246+J2-1</f>
        <v>4199</v>
      </c>
      <c r="E248" s="28">
        <v>2</v>
      </c>
      <c r="F248" s="28" t="s">
        <v>12</v>
      </c>
      <c r="G248" s="26" t="s">
        <v>13</v>
      </c>
      <c r="H248" s="28" t="s">
        <v>11</v>
      </c>
      <c r="I248" s="28" t="s">
        <v>262</v>
      </c>
      <c r="J248" s="50"/>
    </row>
    <row r="249" spans="1:10" x14ac:dyDescent="0.25">
      <c r="A249" s="51">
        <f>(F2-1)*(H2+J2)+A227</f>
        <v>105</v>
      </c>
      <c r="B249" s="27" t="s">
        <v>279</v>
      </c>
      <c r="C249" s="27" t="s">
        <v>351</v>
      </c>
      <c r="D249" s="52">
        <f>(F2-1)*(H2+J2)+D227</f>
        <v>4200</v>
      </c>
      <c r="E249" s="52">
        <v>2</v>
      </c>
      <c r="F249" s="52" t="s">
        <v>12</v>
      </c>
      <c r="G249" s="27" t="s">
        <v>13</v>
      </c>
      <c r="H249" s="52" t="s">
        <v>11</v>
      </c>
      <c r="I249" s="52" t="s">
        <v>267</v>
      </c>
      <c r="J249" s="53"/>
    </row>
    <row r="250" spans="1:10" x14ac:dyDescent="0.25">
      <c r="A250" s="51">
        <f>A249+1</f>
        <v>106</v>
      </c>
      <c r="B250" s="27" t="s">
        <v>280</v>
      </c>
      <c r="C250" s="27" t="s">
        <v>351</v>
      </c>
      <c r="D250" s="52">
        <f>D249+1</f>
        <v>4201</v>
      </c>
      <c r="E250" s="52">
        <v>2</v>
      </c>
      <c r="F250" s="52" t="s">
        <v>12</v>
      </c>
      <c r="G250" s="27" t="s">
        <v>182</v>
      </c>
      <c r="H250" s="52" t="s">
        <v>11</v>
      </c>
      <c r="I250" s="52" t="s">
        <v>267</v>
      </c>
      <c r="J250" s="53"/>
    </row>
    <row r="251" spans="1:10" x14ac:dyDescent="0.25">
      <c r="A251" s="51" t="s">
        <v>181</v>
      </c>
      <c r="B251" s="27" t="s">
        <v>181</v>
      </c>
      <c r="C251" s="27"/>
      <c r="D251" s="52" t="s">
        <v>226</v>
      </c>
      <c r="E251" s="52" t="s">
        <v>226</v>
      </c>
      <c r="F251" s="52" t="s">
        <v>226</v>
      </c>
      <c r="G251" s="27" t="s">
        <v>181</v>
      </c>
      <c r="H251" s="52" t="s">
        <v>226</v>
      </c>
      <c r="I251" s="52" t="s">
        <v>181</v>
      </c>
      <c r="J251" s="53"/>
    </row>
    <row r="252" spans="1:10" x14ac:dyDescent="0.25">
      <c r="A252" s="51">
        <f>A249+H2-1</f>
        <v>110</v>
      </c>
      <c r="B252" s="27" t="s">
        <v>281</v>
      </c>
      <c r="C252" s="27" t="s">
        <v>351</v>
      </c>
      <c r="D252" s="52">
        <f>D249+H2-1</f>
        <v>4205</v>
      </c>
      <c r="E252" s="52">
        <v>2</v>
      </c>
      <c r="F252" s="52" t="s">
        <v>12</v>
      </c>
      <c r="G252" s="27" t="s">
        <v>13</v>
      </c>
      <c r="H252" s="52" t="s">
        <v>11</v>
      </c>
      <c r="I252" s="52" t="s">
        <v>267</v>
      </c>
      <c r="J252" s="53"/>
    </row>
    <row r="253" spans="1:10" x14ac:dyDescent="0.25">
      <c r="A253" s="51">
        <f>A252+1</f>
        <v>111</v>
      </c>
      <c r="B253" s="27" t="s">
        <v>283</v>
      </c>
      <c r="C253" s="27" t="s">
        <v>351</v>
      </c>
      <c r="D253" s="52">
        <f>D252+1</f>
        <v>4206</v>
      </c>
      <c r="E253" s="52">
        <v>2</v>
      </c>
      <c r="F253" s="52" t="s">
        <v>12</v>
      </c>
      <c r="G253" s="27" t="s">
        <v>13</v>
      </c>
      <c r="H253" s="52" t="s">
        <v>11</v>
      </c>
      <c r="I253" s="52" t="s">
        <v>267</v>
      </c>
      <c r="J253" s="53"/>
    </row>
    <row r="254" spans="1:10" x14ac:dyDescent="0.25">
      <c r="A254" s="51" t="s">
        <v>181</v>
      </c>
      <c r="B254" s="27" t="s">
        <v>181</v>
      </c>
      <c r="C254" s="27"/>
      <c r="D254" s="52" t="s">
        <v>226</v>
      </c>
      <c r="E254" s="52" t="s">
        <v>226</v>
      </c>
      <c r="F254" s="52" t="s">
        <v>226</v>
      </c>
      <c r="G254" s="27" t="s">
        <v>181</v>
      </c>
      <c r="H254" s="52" t="s">
        <v>226</v>
      </c>
      <c r="I254" s="52" t="s">
        <v>181</v>
      </c>
      <c r="J254" s="53"/>
    </row>
    <row r="255" spans="1:10" x14ac:dyDescent="0.25">
      <c r="A255" s="51">
        <f>A253+J2-1</f>
        <v>112</v>
      </c>
      <c r="B255" s="27" t="s">
        <v>282</v>
      </c>
      <c r="C255" s="27" t="s">
        <v>351</v>
      </c>
      <c r="D255" s="52">
        <f>D253+J2-1</f>
        <v>4207</v>
      </c>
      <c r="E255" s="52">
        <v>2</v>
      </c>
      <c r="F255" s="52" t="s">
        <v>12</v>
      </c>
      <c r="G255" s="27" t="s">
        <v>13</v>
      </c>
      <c r="H255" s="52" t="s">
        <v>11</v>
      </c>
      <c r="I255" s="52" t="s">
        <v>267</v>
      </c>
      <c r="J255" s="53"/>
    </row>
    <row r="256" spans="1:10" x14ac:dyDescent="0.25">
      <c r="A256" s="49"/>
      <c r="B256" s="26"/>
      <c r="C256" s="26"/>
      <c r="D256" s="28"/>
      <c r="E256" s="28"/>
      <c r="F256" s="28"/>
      <c r="G256" s="28"/>
      <c r="H256" s="28"/>
      <c r="I256" s="28"/>
      <c r="J256" s="50"/>
    </row>
    <row r="257" spans="1:10" x14ac:dyDescent="0.25">
      <c r="A257" s="112" t="s">
        <v>189</v>
      </c>
      <c r="B257" s="113"/>
      <c r="C257" s="113"/>
      <c r="D257" s="113"/>
      <c r="E257" s="113"/>
      <c r="F257" s="113"/>
      <c r="G257" s="113"/>
      <c r="H257" s="113"/>
      <c r="I257" s="113"/>
      <c r="J257" s="114"/>
    </row>
    <row r="258" spans="1:10" x14ac:dyDescent="0.25">
      <c r="A258" s="60">
        <v>1</v>
      </c>
      <c r="B258" s="74" t="s">
        <v>466</v>
      </c>
      <c r="C258" s="55" t="s">
        <v>411</v>
      </c>
      <c r="D258" s="65">
        <v>5374</v>
      </c>
      <c r="E258" s="65">
        <v>2</v>
      </c>
      <c r="F258" s="65" t="s">
        <v>12</v>
      </c>
      <c r="G258" s="62" t="s">
        <v>13</v>
      </c>
      <c r="H258" s="65" t="s">
        <v>11</v>
      </c>
      <c r="I258" s="64" t="s">
        <v>125</v>
      </c>
      <c r="J258" s="71" t="s">
        <v>467</v>
      </c>
    </row>
    <row r="259" spans="1:10" x14ac:dyDescent="0.25">
      <c r="A259" s="60">
        <v>2</v>
      </c>
      <c r="B259" s="74" t="s">
        <v>465</v>
      </c>
      <c r="C259" s="55" t="s">
        <v>411</v>
      </c>
      <c r="D259" s="65">
        <v>5375</v>
      </c>
      <c r="E259" s="65">
        <v>2</v>
      </c>
      <c r="F259" s="65" t="s">
        <v>9</v>
      </c>
      <c r="G259" s="62">
        <v>1</v>
      </c>
      <c r="H259" s="65" t="s">
        <v>11</v>
      </c>
      <c r="I259" s="64" t="s">
        <v>125</v>
      </c>
      <c r="J259" s="71"/>
    </row>
    <row r="260" spans="1:10" x14ac:dyDescent="0.25">
      <c r="A260" s="49">
        <v>3</v>
      </c>
      <c r="B260" s="47" t="s">
        <v>19</v>
      </c>
      <c r="C260" s="26" t="s">
        <v>351</v>
      </c>
      <c r="D260" s="25">
        <v>5376</v>
      </c>
      <c r="E260" s="25">
        <v>2</v>
      </c>
      <c r="F260" s="25" t="s">
        <v>9</v>
      </c>
      <c r="G260" s="7" t="s">
        <v>10</v>
      </c>
      <c r="H260" s="25" t="s">
        <v>11</v>
      </c>
      <c r="I260" s="28" t="s">
        <v>135</v>
      </c>
      <c r="J260" s="50" t="s">
        <v>185</v>
      </c>
    </row>
    <row r="261" spans="1:10" x14ac:dyDescent="0.25">
      <c r="A261" s="49">
        <v>4</v>
      </c>
      <c r="B261" s="47" t="s">
        <v>20</v>
      </c>
      <c r="C261" s="26" t="s">
        <v>351</v>
      </c>
      <c r="D261" s="25">
        <v>5377</v>
      </c>
      <c r="E261" s="25">
        <v>2</v>
      </c>
      <c r="F261" s="25" t="s">
        <v>9</v>
      </c>
      <c r="G261" s="7">
        <v>1</v>
      </c>
      <c r="H261" s="25" t="s">
        <v>11</v>
      </c>
      <c r="I261" s="28" t="s">
        <v>135</v>
      </c>
      <c r="J261" s="50"/>
    </row>
    <row r="262" spans="1:10" x14ac:dyDescent="0.25">
      <c r="A262" s="49">
        <v>5</v>
      </c>
      <c r="B262" s="47" t="s">
        <v>21</v>
      </c>
      <c r="C262" s="26" t="s">
        <v>351</v>
      </c>
      <c r="D262" s="25">
        <v>5378</v>
      </c>
      <c r="E262" s="25">
        <v>2</v>
      </c>
      <c r="F262" s="25" t="s">
        <v>9</v>
      </c>
      <c r="G262" s="7" t="s">
        <v>10</v>
      </c>
      <c r="H262" s="25" t="s">
        <v>11</v>
      </c>
      <c r="I262" s="28" t="s">
        <v>135</v>
      </c>
      <c r="J262" s="50"/>
    </row>
    <row r="263" spans="1:10" x14ac:dyDescent="0.25">
      <c r="A263" s="49">
        <v>6</v>
      </c>
      <c r="B263" s="47" t="s">
        <v>22</v>
      </c>
      <c r="C263" s="26" t="s">
        <v>351</v>
      </c>
      <c r="D263" s="25">
        <v>5379</v>
      </c>
      <c r="E263" s="25">
        <v>2</v>
      </c>
      <c r="F263" s="25" t="s">
        <v>9</v>
      </c>
      <c r="G263" s="7">
        <v>1</v>
      </c>
      <c r="H263" s="25" t="s">
        <v>11</v>
      </c>
      <c r="I263" s="28" t="s">
        <v>135</v>
      </c>
      <c r="J263" s="50"/>
    </row>
    <row r="264" spans="1:10" x14ac:dyDescent="0.25">
      <c r="A264" s="49">
        <v>7</v>
      </c>
      <c r="B264" s="47" t="s">
        <v>23</v>
      </c>
      <c r="C264" s="26" t="s">
        <v>351</v>
      </c>
      <c r="D264" s="25">
        <v>5380</v>
      </c>
      <c r="E264" s="25">
        <v>2</v>
      </c>
      <c r="F264" s="25" t="s">
        <v>12</v>
      </c>
      <c r="G264" s="7" t="s">
        <v>13</v>
      </c>
      <c r="H264" s="25" t="s">
        <v>11</v>
      </c>
      <c r="I264" s="28" t="s">
        <v>135</v>
      </c>
      <c r="J264" s="50"/>
    </row>
    <row r="265" spans="1:10" x14ac:dyDescent="0.25">
      <c r="A265" s="49">
        <v>8</v>
      </c>
      <c r="B265" s="47" t="s">
        <v>24</v>
      </c>
      <c r="C265" s="26" t="s">
        <v>351</v>
      </c>
      <c r="D265" s="25">
        <v>5381</v>
      </c>
      <c r="E265" s="25">
        <v>2</v>
      </c>
      <c r="F265" s="25" t="s">
        <v>9</v>
      </c>
      <c r="G265" s="7">
        <v>1</v>
      </c>
      <c r="H265" s="25" t="s">
        <v>11</v>
      </c>
      <c r="I265" s="28" t="s">
        <v>135</v>
      </c>
      <c r="J265" s="50"/>
    </row>
    <row r="266" spans="1:10" x14ac:dyDescent="0.25">
      <c r="A266" s="49">
        <v>9</v>
      </c>
      <c r="B266" s="47" t="s">
        <v>25</v>
      </c>
      <c r="C266" s="26" t="s">
        <v>351</v>
      </c>
      <c r="D266" s="25">
        <v>5382</v>
      </c>
      <c r="E266" s="25">
        <v>2</v>
      </c>
      <c r="F266" s="25" t="s">
        <v>12</v>
      </c>
      <c r="G266" s="7" t="s">
        <v>13</v>
      </c>
      <c r="H266" s="25" t="s">
        <v>11</v>
      </c>
      <c r="I266" s="28" t="s">
        <v>135</v>
      </c>
      <c r="J266" s="50"/>
    </row>
    <row r="267" spans="1:10" x14ac:dyDescent="0.25">
      <c r="A267" s="49">
        <v>10</v>
      </c>
      <c r="B267" s="47" t="s">
        <v>26</v>
      </c>
      <c r="C267" s="26" t="s">
        <v>351</v>
      </c>
      <c r="D267" s="25">
        <v>5383</v>
      </c>
      <c r="E267" s="25">
        <v>2</v>
      </c>
      <c r="F267" s="25" t="s">
        <v>9</v>
      </c>
      <c r="G267" s="7">
        <v>1</v>
      </c>
      <c r="H267" s="25" t="s">
        <v>11</v>
      </c>
      <c r="I267" s="28" t="s">
        <v>135</v>
      </c>
      <c r="J267" s="50"/>
    </row>
    <row r="268" spans="1:10" x14ac:dyDescent="0.25">
      <c r="A268" s="49">
        <v>11</v>
      </c>
      <c r="B268" s="47" t="s">
        <v>27</v>
      </c>
      <c r="C268" s="26" t="s">
        <v>351</v>
      </c>
      <c r="D268" s="25">
        <v>5384</v>
      </c>
      <c r="E268" s="25">
        <v>2</v>
      </c>
      <c r="F268" s="25" t="s">
        <v>12</v>
      </c>
      <c r="G268" s="7" t="s">
        <v>13</v>
      </c>
      <c r="H268" s="25" t="s">
        <v>11</v>
      </c>
      <c r="I268" s="28" t="s">
        <v>135</v>
      </c>
      <c r="J268" s="50"/>
    </row>
    <row r="269" spans="1:10" x14ac:dyDescent="0.25">
      <c r="A269" s="49">
        <v>12</v>
      </c>
      <c r="B269" s="47" t="s">
        <v>28</v>
      </c>
      <c r="C269" s="26" t="s">
        <v>351</v>
      </c>
      <c r="D269" s="25">
        <v>5385</v>
      </c>
      <c r="E269" s="25">
        <v>2</v>
      </c>
      <c r="F269" s="25" t="s">
        <v>9</v>
      </c>
      <c r="G269" s="7">
        <v>1</v>
      </c>
      <c r="H269" s="25" t="s">
        <v>11</v>
      </c>
      <c r="I269" s="28" t="s">
        <v>135</v>
      </c>
      <c r="J269" s="50"/>
    </row>
    <row r="270" spans="1:10" x14ac:dyDescent="0.25">
      <c r="A270" s="49">
        <v>13</v>
      </c>
      <c r="B270" s="47" t="s">
        <v>29</v>
      </c>
      <c r="C270" s="26" t="s">
        <v>351</v>
      </c>
      <c r="D270" s="25">
        <v>5386</v>
      </c>
      <c r="E270" s="25">
        <v>2</v>
      </c>
      <c r="F270" s="25" t="s">
        <v>517</v>
      </c>
      <c r="G270" s="7" t="s">
        <v>10</v>
      </c>
      <c r="H270" s="25" t="s">
        <v>11</v>
      </c>
      <c r="I270" s="28" t="s">
        <v>135</v>
      </c>
      <c r="J270" s="50"/>
    </row>
    <row r="271" spans="1:10" x14ac:dyDescent="0.25">
      <c r="A271" s="49">
        <v>14</v>
      </c>
      <c r="B271" s="47" t="s">
        <v>30</v>
      </c>
      <c r="C271" s="26" t="s">
        <v>351</v>
      </c>
      <c r="D271" s="25">
        <v>5387</v>
      </c>
      <c r="E271" s="25">
        <v>2</v>
      </c>
      <c r="F271" s="25" t="s">
        <v>516</v>
      </c>
      <c r="G271" s="7" t="s">
        <v>13</v>
      </c>
      <c r="H271" s="25" t="s">
        <v>11</v>
      </c>
      <c r="I271" s="28" t="s">
        <v>135</v>
      </c>
      <c r="J271" s="50"/>
    </row>
    <row r="272" spans="1:10" x14ac:dyDescent="0.25">
      <c r="A272" s="49">
        <v>15</v>
      </c>
      <c r="B272" s="47" t="s">
        <v>31</v>
      </c>
      <c r="C272" s="26" t="s">
        <v>351</v>
      </c>
      <c r="D272" s="25">
        <v>5388</v>
      </c>
      <c r="E272" s="25">
        <v>2</v>
      </c>
      <c r="F272" s="25" t="s">
        <v>9</v>
      </c>
      <c r="G272" s="7" t="s">
        <v>13</v>
      </c>
      <c r="H272" s="25" t="s">
        <v>11</v>
      </c>
      <c r="I272" s="28" t="s">
        <v>135</v>
      </c>
      <c r="J272" s="50"/>
    </row>
    <row r="273" spans="1:10" x14ac:dyDescent="0.25">
      <c r="A273" s="49">
        <v>16</v>
      </c>
      <c r="B273" s="47" t="s">
        <v>32</v>
      </c>
      <c r="C273" s="26" t="s">
        <v>351</v>
      </c>
      <c r="D273" s="25">
        <v>5389</v>
      </c>
      <c r="E273" s="25">
        <v>2</v>
      </c>
      <c r="F273" s="25" t="s">
        <v>9</v>
      </c>
      <c r="G273" s="7">
        <v>1</v>
      </c>
      <c r="H273" s="25" t="s">
        <v>11</v>
      </c>
      <c r="I273" s="28" t="s">
        <v>135</v>
      </c>
      <c r="J273" s="50"/>
    </row>
    <row r="274" spans="1:10" x14ac:dyDescent="0.25">
      <c r="A274" s="49">
        <v>17</v>
      </c>
      <c r="B274" s="26" t="s">
        <v>186</v>
      </c>
      <c r="C274" s="26" t="s">
        <v>351</v>
      </c>
      <c r="D274" s="25">
        <v>5390</v>
      </c>
      <c r="E274" s="25">
        <v>2</v>
      </c>
      <c r="F274" s="25" t="s">
        <v>9</v>
      </c>
      <c r="G274" s="7" t="s">
        <v>188</v>
      </c>
      <c r="H274" s="25" t="s">
        <v>11</v>
      </c>
      <c r="I274" s="28" t="s">
        <v>135</v>
      </c>
      <c r="J274" s="50"/>
    </row>
    <row r="275" spans="1:10" x14ac:dyDescent="0.25">
      <c r="A275" s="49">
        <v>18</v>
      </c>
      <c r="B275" s="26" t="s">
        <v>187</v>
      </c>
      <c r="C275" s="26" t="s">
        <v>351</v>
      </c>
      <c r="D275" s="25">
        <v>5391</v>
      </c>
      <c r="E275" s="25">
        <v>2</v>
      </c>
      <c r="F275" s="25" t="s">
        <v>9</v>
      </c>
      <c r="G275" s="7">
        <v>1</v>
      </c>
      <c r="H275" s="25" t="s">
        <v>11</v>
      </c>
      <c r="I275" s="28" t="s">
        <v>135</v>
      </c>
      <c r="J275" s="50"/>
    </row>
    <row r="276" spans="1:10" x14ac:dyDescent="0.25">
      <c r="A276" s="49">
        <v>19</v>
      </c>
      <c r="B276" s="26" t="s">
        <v>190</v>
      </c>
      <c r="C276" s="26" t="s">
        <v>351</v>
      </c>
      <c r="D276" s="25">
        <v>5392</v>
      </c>
      <c r="E276" s="25">
        <v>2</v>
      </c>
      <c r="F276" s="25" t="s">
        <v>9</v>
      </c>
      <c r="G276" s="26" t="s">
        <v>195</v>
      </c>
      <c r="H276" s="25" t="s">
        <v>11</v>
      </c>
      <c r="I276" s="28" t="s">
        <v>135</v>
      </c>
      <c r="J276" s="50"/>
    </row>
    <row r="277" spans="1:10" x14ac:dyDescent="0.25">
      <c r="A277" s="49">
        <v>20</v>
      </c>
      <c r="B277" s="26" t="s">
        <v>196</v>
      </c>
      <c r="C277" s="26" t="s">
        <v>351</v>
      </c>
      <c r="D277" s="25">
        <v>5393</v>
      </c>
      <c r="E277" s="25">
        <v>2</v>
      </c>
      <c r="F277" s="25" t="s">
        <v>9</v>
      </c>
      <c r="G277" s="26" t="s">
        <v>342</v>
      </c>
      <c r="H277" s="25" t="s">
        <v>11</v>
      </c>
      <c r="I277" s="28" t="s">
        <v>135</v>
      </c>
      <c r="J277" s="50"/>
    </row>
    <row r="278" spans="1:10" x14ac:dyDescent="0.25">
      <c r="A278" s="49">
        <v>21</v>
      </c>
      <c r="B278" s="26" t="s">
        <v>191</v>
      </c>
      <c r="C278" s="26" t="s">
        <v>351</v>
      </c>
      <c r="D278" s="25">
        <v>5394</v>
      </c>
      <c r="E278" s="25">
        <v>2</v>
      </c>
      <c r="F278" s="25" t="s">
        <v>9</v>
      </c>
      <c r="G278" s="26" t="s">
        <v>342</v>
      </c>
      <c r="H278" s="25" t="s">
        <v>11</v>
      </c>
      <c r="I278" s="28" t="s">
        <v>135</v>
      </c>
      <c r="J278" s="50"/>
    </row>
    <row r="279" spans="1:10" x14ac:dyDescent="0.25">
      <c r="A279" s="49">
        <v>22</v>
      </c>
      <c r="B279" s="26" t="s">
        <v>192</v>
      </c>
      <c r="C279" s="26" t="s">
        <v>351</v>
      </c>
      <c r="D279" s="25">
        <v>5395</v>
      </c>
      <c r="E279" s="25">
        <v>2</v>
      </c>
      <c r="F279" s="25" t="s">
        <v>9</v>
      </c>
      <c r="G279" s="26" t="s">
        <v>342</v>
      </c>
      <c r="H279" s="25" t="s">
        <v>11</v>
      </c>
      <c r="I279" s="28" t="s">
        <v>135</v>
      </c>
      <c r="J279" s="50"/>
    </row>
    <row r="280" spans="1:10" x14ac:dyDescent="0.25">
      <c r="A280" s="49">
        <v>23</v>
      </c>
      <c r="B280" s="26" t="s">
        <v>193</v>
      </c>
      <c r="C280" s="26" t="s">
        <v>351</v>
      </c>
      <c r="D280" s="25">
        <v>5396</v>
      </c>
      <c r="E280" s="25">
        <v>2</v>
      </c>
      <c r="F280" s="25" t="s">
        <v>12</v>
      </c>
      <c r="G280" s="26" t="s">
        <v>319</v>
      </c>
      <c r="H280" s="25" t="s">
        <v>11</v>
      </c>
      <c r="I280" s="28" t="s">
        <v>135</v>
      </c>
      <c r="J280" s="50"/>
    </row>
    <row r="281" spans="1:10" x14ac:dyDescent="0.25">
      <c r="A281" s="49">
        <v>24</v>
      </c>
      <c r="B281" s="26" t="s">
        <v>194</v>
      </c>
      <c r="C281" s="26" t="s">
        <v>351</v>
      </c>
      <c r="D281" s="25">
        <v>5397</v>
      </c>
      <c r="E281" s="25">
        <v>2</v>
      </c>
      <c r="F281" s="25" t="s">
        <v>12</v>
      </c>
      <c r="G281" s="26" t="s">
        <v>118</v>
      </c>
      <c r="H281" s="25" t="s">
        <v>11</v>
      </c>
      <c r="I281" s="28" t="s">
        <v>135</v>
      </c>
      <c r="J281" s="50"/>
    </row>
    <row r="282" spans="1:10" x14ac:dyDescent="0.25">
      <c r="A282" s="49">
        <v>25</v>
      </c>
      <c r="B282" s="26" t="s">
        <v>405</v>
      </c>
      <c r="C282" s="26" t="s">
        <v>351</v>
      </c>
      <c r="D282" s="25">
        <v>5398</v>
      </c>
      <c r="E282" s="25">
        <v>2</v>
      </c>
      <c r="F282" s="25" t="s">
        <v>12</v>
      </c>
      <c r="G282" s="7" t="s">
        <v>116</v>
      </c>
      <c r="H282" s="25" t="s">
        <v>11</v>
      </c>
      <c r="I282" s="28" t="s">
        <v>135</v>
      </c>
      <c r="J282" s="50"/>
    </row>
    <row r="283" spans="1:10" x14ac:dyDescent="0.25">
      <c r="A283" s="60">
        <v>26</v>
      </c>
      <c r="B283" s="55" t="s">
        <v>406</v>
      </c>
      <c r="C283" s="55" t="s">
        <v>351</v>
      </c>
      <c r="D283" s="65">
        <v>5399</v>
      </c>
      <c r="E283" s="65">
        <v>2</v>
      </c>
      <c r="F283" s="65" t="s">
        <v>12</v>
      </c>
      <c r="G283" s="62" t="s">
        <v>13</v>
      </c>
      <c r="H283" s="65" t="s">
        <v>11</v>
      </c>
      <c r="I283" s="64" t="s">
        <v>135</v>
      </c>
      <c r="J283" s="50"/>
    </row>
    <row r="284" spans="1:10" x14ac:dyDescent="0.25">
      <c r="A284" s="60">
        <v>27</v>
      </c>
      <c r="B284" s="55" t="s">
        <v>407</v>
      </c>
      <c r="C284" s="55" t="s">
        <v>351</v>
      </c>
      <c r="D284" s="65">
        <v>5400</v>
      </c>
      <c r="E284" s="65">
        <v>2</v>
      </c>
      <c r="F284" s="65" t="s">
        <v>12</v>
      </c>
      <c r="G284" s="62" t="s">
        <v>13</v>
      </c>
      <c r="H284" s="65" t="s">
        <v>11</v>
      </c>
      <c r="I284" s="64" t="s">
        <v>135</v>
      </c>
      <c r="J284" s="50"/>
    </row>
    <row r="285" spans="1:10" x14ac:dyDescent="0.25">
      <c r="A285" s="60">
        <v>28</v>
      </c>
      <c r="B285" s="55" t="s">
        <v>408</v>
      </c>
      <c r="C285" s="55" t="s">
        <v>411</v>
      </c>
      <c r="D285" s="65">
        <v>5401</v>
      </c>
      <c r="E285" s="65">
        <v>2</v>
      </c>
      <c r="F285" s="65" t="s">
        <v>12</v>
      </c>
      <c r="G285" s="62" t="s">
        <v>13</v>
      </c>
      <c r="H285" s="65" t="s">
        <v>11</v>
      </c>
      <c r="I285" s="64" t="s">
        <v>125</v>
      </c>
      <c r="J285" s="50"/>
    </row>
    <row r="286" spans="1:10" x14ac:dyDescent="0.25">
      <c r="A286" s="60">
        <v>29</v>
      </c>
      <c r="B286" s="55" t="s">
        <v>409</v>
      </c>
      <c r="C286" s="55" t="s">
        <v>411</v>
      </c>
      <c r="D286" s="65">
        <v>5402</v>
      </c>
      <c r="E286" s="65">
        <v>2</v>
      </c>
      <c r="F286" s="65" t="s">
        <v>12</v>
      </c>
      <c r="G286" s="62" t="s">
        <v>13</v>
      </c>
      <c r="H286" s="65" t="s">
        <v>11</v>
      </c>
      <c r="I286" s="64" t="s">
        <v>125</v>
      </c>
      <c r="J286" s="50"/>
    </row>
    <row r="287" spans="1:10" x14ac:dyDescent="0.25">
      <c r="A287" s="60">
        <v>30</v>
      </c>
      <c r="B287" s="55" t="s">
        <v>410</v>
      </c>
      <c r="C287" s="55" t="s">
        <v>411</v>
      </c>
      <c r="D287" s="65">
        <v>5403</v>
      </c>
      <c r="E287" s="65">
        <v>2</v>
      </c>
      <c r="F287" s="65" t="s">
        <v>12</v>
      </c>
      <c r="G287" s="62" t="s">
        <v>13</v>
      </c>
      <c r="H287" s="65" t="s">
        <v>11</v>
      </c>
      <c r="I287" s="64" t="s">
        <v>125</v>
      </c>
      <c r="J287" s="50"/>
    </row>
    <row r="288" spans="1:10" x14ac:dyDescent="0.25">
      <c r="A288" s="60">
        <v>31</v>
      </c>
      <c r="B288" s="26" t="s">
        <v>515</v>
      </c>
      <c r="C288" s="55" t="s">
        <v>514</v>
      </c>
      <c r="D288" s="64">
        <v>5404</v>
      </c>
      <c r="E288" s="64">
        <v>2</v>
      </c>
      <c r="F288" s="64" t="s">
        <v>12</v>
      </c>
      <c r="G288" s="26" t="s">
        <v>118</v>
      </c>
      <c r="H288" s="64" t="s">
        <v>11</v>
      </c>
      <c r="I288" s="64" t="s">
        <v>125</v>
      </c>
      <c r="J288" s="50"/>
    </row>
    <row r="289" spans="1:10" x14ac:dyDescent="0.25">
      <c r="A289" s="49"/>
      <c r="B289" s="26"/>
      <c r="C289" s="26"/>
      <c r="D289" s="28"/>
      <c r="E289" s="28"/>
      <c r="F289" s="28"/>
      <c r="G289" s="28"/>
      <c r="H289" s="28"/>
      <c r="I289" s="28"/>
      <c r="J289" s="50"/>
    </row>
    <row r="290" spans="1:10" x14ac:dyDescent="0.25">
      <c r="A290" s="118" t="s">
        <v>198</v>
      </c>
      <c r="B290" s="119"/>
      <c r="C290" s="119"/>
      <c r="D290" s="119"/>
      <c r="E290" s="119"/>
      <c r="F290" s="119"/>
      <c r="G290" s="119"/>
      <c r="H290" s="119"/>
      <c r="I290" s="119"/>
      <c r="J290" s="120"/>
    </row>
    <row r="291" spans="1:10" x14ac:dyDescent="0.25">
      <c r="A291" s="112" t="s">
        <v>199</v>
      </c>
      <c r="B291" s="113"/>
      <c r="C291" s="113"/>
      <c r="D291" s="113"/>
      <c r="E291" s="113"/>
      <c r="F291" s="113"/>
      <c r="G291" s="113"/>
      <c r="H291" s="113"/>
      <c r="I291" s="113"/>
      <c r="J291" s="114"/>
    </row>
    <row r="292" spans="1:10" x14ac:dyDescent="0.25">
      <c r="A292" s="49">
        <v>1</v>
      </c>
      <c r="B292" s="26" t="s">
        <v>357</v>
      </c>
      <c r="C292" s="26" t="s">
        <v>301</v>
      </c>
      <c r="D292" s="28">
        <v>0</v>
      </c>
      <c r="E292" s="28">
        <v>1</v>
      </c>
      <c r="F292" s="28" t="s">
        <v>81</v>
      </c>
      <c r="G292" s="20" t="s">
        <v>418</v>
      </c>
      <c r="H292" s="28" t="s">
        <v>78</v>
      </c>
      <c r="I292" s="28" t="s">
        <v>135</v>
      </c>
      <c r="J292" s="54" t="s">
        <v>103</v>
      </c>
    </row>
    <row r="293" spans="1:10" x14ac:dyDescent="0.25">
      <c r="A293" s="49">
        <v>2</v>
      </c>
      <c r="B293" s="26" t="s">
        <v>358</v>
      </c>
      <c r="C293" s="26" t="s">
        <v>301</v>
      </c>
      <c r="D293" s="28">
        <v>1</v>
      </c>
      <c r="E293" s="28">
        <v>1</v>
      </c>
      <c r="F293" s="28" t="s">
        <v>81</v>
      </c>
      <c r="G293" s="20" t="s">
        <v>419</v>
      </c>
      <c r="H293" s="28" t="s">
        <v>78</v>
      </c>
      <c r="I293" s="28" t="s">
        <v>135</v>
      </c>
      <c r="J293" s="54" t="s">
        <v>103</v>
      </c>
    </row>
    <row r="294" spans="1:10" x14ac:dyDescent="0.25">
      <c r="A294" s="49">
        <v>3</v>
      </c>
      <c r="B294" s="26" t="s">
        <v>359</v>
      </c>
      <c r="C294" s="26" t="s">
        <v>301</v>
      </c>
      <c r="D294" s="28">
        <v>2</v>
      </c>
      <c r="E294" s="28">
        <v>1</v>
      </c>
      <c r="F294" s="28" t="s">
        <v>81</v>
      </c>
      <c r="G294" s="20" t="s">
        <v>420</v>
      </c>
      <c r="H294" s="28" t="s">
        <v>78</v>
      </c>
      <c r="I294" s="28" t="s">
        <v>125</v>
      </c>
      <c r="J294" s="54" t="s">
        <v>103</v>
      </c>
    </row>
    <row r="295" spans="1:10" x14ac:dyDescent="0.25">
      <c r="A295" s="49">
        <v>4</v>
      </c>
      <c r="B295" s="26" t="s">
        <v>360</v>
      </c>
      <c r="C295" s="26" t="s">
        <v>301</v>
      </c>
      <c r="D295" s="28">
        <v>3</v>
      </c>
      <c r="E295" s="28">
        <v>1</v>
      </c>
      <c r="F295" s="28" t="s">
        <v>81</v>
      </c>
      <c r="G295" s="20" t="s">
        <v>421</v>
      </c>
      <c r="H295" s="28" t="s">
        <v>78</v>
      </c>
      <c r="I295" s="28" t="s">
        <v>125</v>
      </c>
      <c r="J295" s="54" t="s">
        <v>103</v>
      </c>
    </row>
    <row r="296" spans="1:10" x14ac:dyDescent="0.25">
      <c r="A296" s="49">
        <v>5</v>
      </c>
      <c r="B296" s="26" t="s">
        <v>361</v>
      </c>
      <c r="C296" s="26" t="s">
        <v>301</v>
      </c>
      <c r="D296" s="28">
        <v>4</v>
      </c>
      <c r="E296" s="28">
        <v>1</v>
      </c>
      <c r="F296" s="28" t="s">
        <v>81</v>
      </c>
      <c r="G296" s="20" t="s">
        <v>422</v>
      </c>
      <c r="H296" s="28" t="s">
        <v>78</v>
      </c>
      <c r="I296" s="28" t="s">
        <v>125</v>
      </c>
      <c r="J296" s="54" t="s">
        <v>103</v>
      </c>
    </row>
    <row r="297" spans="1:10" x14ac:dyDescent="0.25">
      <c r="A297" s="49">
        <v>6</v>
      </c>
      <c r="B297" s="26" t="s">
        <v>362</v>
      </c>
      <c r="C297" s="26" t="s">
        <v>301</v>
      </c>
      <c r="D297" s="28">
        <v>5</v>
      </c>
      <c r="E297" s="28">
        <v>1</v>
      </c>
      <c r="F297" s="28" t="s">
        <v>81</v>
      </c>
      <c r="G297" s="20" t="s">
        <v>423</v>
      </c>
      <c r="H297" s="28" t="s">
        <v>78</v>
      </c>
      <c r="I297" s="28" t="s">
        <v>125</v>
      </c>
      <c r="J297" s="54" t="s">
        <v>103</v>
      </c>
    </row>
    <row r="298" spans="1:10" x14ac:dyDescent="0.25">
      <c r="A298" s="49">
        <v>7</v>
      </c>
      <c r="B298" s="26" t="s">
        <v>363</v>
      </c>
      <c r="C298" s="26" t="s">
        <v>301</v>
      </c>
      <c r="D298" s="28">
        <v>6</v>
      </c>
      <c r="E298" s="28">
        <v>1</v>
      </c>
      <c r="F298" s="28" t="s">
        <v>81</v>
      </c>
      <c r="G298" s="20" t="s">
        <v>424</v>
      </c>
      <c r="H298" s="28" t="s">
        <v>78</v>
      </c>
      <c r="I298" s="28" t="s">
        <v>125</v>
      </c>
      <c r="J298" s="54" t="s">
        <v>103</v>
      </c>
    </row>
    <row r="299" spans="1:10" x14ac:dyDescent="0.25">
      <c r="A299" s="49">
        <v>8</v>
      </c>
      <c r="B299" s="26" t="s">
        <v>364</v>
      </c>
      <c r="C299" s="26" t="s">
        <v>301</v>
      </c>
      <c r="D299" s="28">
        <v>7</v>
      </c>
      <c r="E299" s="28">
        <v>1</v>
      </c>
      <c r="F299" s="28" t="s">
        <v>81</v>
      </c>
      <c r="G299" s="20" t="s">
        <v>425</v>
      </c>
      <c r="H299" s="28" t="s">
        <v>78</v>
      </c>
      <c r="I299" s="28" t="s">
        <v>125</v>
      </c>
      <c r="J299" s="54" t="s">
        <v>103</v>
      </c>
    </row>
    <row r="300" spans="1:10" x14ac:dyDescent="0.25">
      <c r="A300" s="49">
        <v>9</v>
      </c>
      <c r="B300" s="26" t="s">
        <v>365</v>
      </c>
      <c r="C300" s="26" t="s">
        <v>301</v>
      </c>
      <c r="D300" s="28">
        <v>8</v>
      </c>
      <c r="E300" s="28">
        <v>1</v>
      </c>
      <c r="F300" s="28" t="s">
        <v>81</v>
      </c>
      <c r="G300" s="20" t="s">
        <v>426</v>
      </c>
      <c r="H300" s="28" t="s">
        <v>78</v>
      </c>
      <c r="I300" s="28" t="s">
        <v>125</v>
      </c>
      <c r="J300" s="54" t="s">
        <v>103</v>
      </c>
    </row>
    <row r="301" spans="1:10" x14ac:dyDescent="0.25">
      <c r="A301" s="49">
        <v>10</v>
      </c>
      <c r="B301" s="26" t="s">
        <v>366</v>
      </c>
      <c r="C301" s="26" t="s">
        <v>301</v>
      </c>
      <c r="D301" s="28">
        <v>9</v>
      </c>
      <c r="E301" s="28">
        <v>1</v>
      </c>
      <c r="F301" s="28" t="s">
        <v>81</v>
      </c>
      <c r="G301" s="20" t="s">
        <v>427</v>
      </c>
      <c r="H301" s="28" t="s">
        <v>78</v>
      </c>
      <c r="I301" s="28" t="s">
        <v>125</v>
      </c>
      <c r="J301" s="54" t="s">
        <v>103</v>
      </c>
    </row>
    <row r="302" spans="1:10" x14ac:dyDescent="0.25">
      <c r="A302" s="49">
        <v>11</v>
      </c>
      <c r="B302" s="26" t="s">
        <v>367</v>
      </c>
      <c r="C302" s="26" t="s">
        <v>301</v>
      </c>
      <c r="D302" s="28">
        <v>10</v>
      </c>
      <c r="E302" s="28">
        <v>1</v>
      </c>
      <c r="F302" s="28" t="s">
        <v>81</v>
      </c>
      <c r="G302" s="20" t="s">
        <v>428</v>
      </c>
      <c r="H302" s="28" t="s">
        <v>78</v>
      </c>
      <c r="I302" s="28" t="s">
        <v>125</v>
      </c>
      <c r="J302" s="54" t="s">
        <v>103</v>
      </c>
    </row>
    <row r="303" spans="1:10" x14ac:dyDescent="0.25">
      <c r="A303" s="60">
        <v>12</v>
      </c>
      <c r="B303" s="55" t="s">
        <v>412</v>
      </c>
      <c r="C303" s="55" t="s">
        <v>417</v>
      </c>
      <c r="D303" s="64">
        <v>11</v>
      </c>
      <c r="E303" s="64">
        <v>1</v>
      </c>
      <c r="F303" s="64" t="s">
        <v>81</v>
      </c>
      <c r="G303" s="72" t="s">
        <v>429</v>
      </c>
      <c r="H303" s="64" t="s">
        <v>78</v>
      </c>
      <c r="I303" s="64" t="s">
        <v>125</v>
      </c>
      <c r="J303" s="73" t="s">
        <v>103</v>
      </c>
    </row>
    <row r="304" spans="1:10" x14ac:dyDescent="0.25">
      <c r="A304" s="60">
        <v>13</v>
      </c>
      <c r="B304" s="55" t="s">
        <v>413</v>
      </c>
      <c r="C304" s="55" t="s">
        <v>417</v>
      </c>
      <c r="D304" s="64">
        <v>12</v>
      </c>
      <c r="E304" s="64">
        <v>1</v>
      </c>
      <c r="F304" s="64" t="s">
        <v>81</v>
      </c>
      <c r="G304" s="72" t="s">
        <v>430</v>
      </c>
      <c r="H304" s="64" t="s">
        <v>78</v>
      </c>
      <c r="I304" s="64" t="s">
        <v>125</v>
      </c>
      <c r="J304" s="73" t="s">
        <v>103</v>
      </c>
    </row>
    <row r="305" spans="1:10" x14ac:dyDescent="0.25">
      <c r="A305" s="60">
        <v>14</v>
      </c>
      <c r="B305" s="55" t="s">
        <v>414</v>
      </c>
      <c r="C305" s="55" t="s">
        <v>417</v>
      </c>
      <c r="D305" s="64">
        <v>13</v>
      </c>
      <c r="E305" s="64">
        <v>1</v>
      </c>
      <c r="F305" s="64" t="s">
        <v>81</v>
      </c>
      <c r="G305" s="72" t="s">
        <v>431</v>
      </c>
      <c r="H305" s="64" t="s">
        <v>78</v>
      </c>
      <c r="I305" s="64" t="s">
        <v>125</v>
      </c>
      <c r="J305" s="73" t="s">
        <v>103</v>
      </c>
    </row>
    <row r="306" spans="1:10" x14ac:dyDescent="0.25">
      <c r="A306" s="60">
        <v>15</v>
      </c>
      <c r="B306" s="55" t="s">
        <v>415</v>
      </c>
      <c r="C306" s="55" t="s">
        <v>417</v>
      </c>
      <c r="D306" s="64">
        <v>14</v>
      </c>
      <c r="E306" s="64">
        <v>1</v>
      </c>
      <c r="F306" s="64" t="s">
        <v>81</v>
      </c>
      <c r="G306" s="72" t="s">
        <v>432</v>
      </c>
      <c r="H306" s="64" t="s">
        <v>78</v>
      </c>
      <c r="I306" s="64" t="s">
        <v>125</v>
      </c>
      <c r="J306" s="73" t="s">
        <v>103</v>
      </c>
    </row>
    <row r="307" spans="1:10" x14ac:dyDescent="0.25">
      <c r="A307" s="60">
        <v>16</v>
      </c>
      <c r="B307" s="55" t="s">
        <v>416</v>
      </c>
      <c r="C307" s="55" t="s">
        <v>417</v>
      </c>
      <c r="D307" s="64">
        <v>15</v>
      </c>
      <c r="E307" s="64">
        <v>1</v>
      </c>
      <c r="F307" s="64" t="s">
        <v>81</v>
      </c>
      <c r="G307" s="72" t="s">
        <v>433</v>
      </c>
      <c r="H307" s="64" t="s">
        <v>78</v>
      </c>
      <c r="I307" s="64" t="s">
        <v>125</v>
      </c>
      <c r="J307" s="73" t="s">
        <v>103</v>
      </c>
    </row>
    <row r="308" spans="1:10" x14ac:dyDescent="0.25">
      <c r="A308" s="49"/>
      <c r="B308" s="26"/>
      <c r="C308" s="26"/>
      <c r="D308" s="28"/>
      <c r="E308" s="28"/>
      <c r="F308" s="28"/>
      <c r="G308" s="28"/>
      <c r="H308" s="28"/>
      <c r="I308" s="28"/>
      <c r="J308" s="50"/>
    </row>
    <row r="309" spans="1:10" x14ac:dyDescent="0.25">
      <c r="A309" s="118" t="s">
        <v>200</v>
      </c>
      <c r="B309" s="119"/>
      <c r="C309" s="119"/>
      <c r="D309" s="119"/>
      <c r="E309" s="119"/>
      <c r="F309" s="119"/>
      <c r="G309" s="119"/>
      <c r="H309" s="119"/>
      <c r="I309" s="119"/>
      <c r="J309" s="120"/>
    </row>
    <row r="310" spans="1:10" ht="15.6" customHeight="1" x14ac:dyDescent="0.25">
      <c r="A310" s="49">
        <v>1</v>
      </c>
      <c r="B310" s="26" t="s">
        <v>215</v>
      </c>
      <c r="C310" s="26" t="s">
        <v>451</v>
      </c>
      <c r="D310" s="25">
        <v>4096</v>
      </c>
      <c r="E310" s="25">
        <v>2</v>
      </c>
      <c r="F310" s="25" t="s">
        <v>9</v>
      </c>
      <c r="G310" s="26" t="s">
        <v>214</v>
      </c>
      <c r="H310" s="25" t="s">
        <v>201</v>
      </c>
      <c r="I310" s="28" t="s">
        <v>125</v>
      </c>
      <c r="J310" s="50" t="s">
        <v>159</v>
      </c>
    </row>
    <row r="311" spans="1:10" ht="13.2" customHeight="1" x14ac:dyDescent="0.25">
      <c r="A311" s="49">
        <v>2</v>
      </c>
      <c r="B311" s="26" t="s">
        <v>203</v>
      </c>
      <c r="C311" s="26" t="s">
        <v>451</v>
      </c>
      <c r="D311" s="28">
        <v>5358</v>
      </c>
      <c r="E311" s="28">
        <v>2</v>
      </c>
      <c r="F311" s="28" t="s">
        <v>202</v>
      </c>
      <c r="G311" s="26" t="s">
        <v>214</v>
      </c>
      <c r="H311" s="25" t="s">
        <v>201</v>
      </c>
      <c r="I311" s="28" t="s">
        <v>125</v>
      </c>
      <c r="J311" s="50" t="s">
        <v>448</v>
      </c>
    </row>
    <row r="312" spans="1:10" ht="24" x14ac:dyDescent="0.25">
      <c r="A312" s="60">
        <v>3</v>
      </c>
      <c r="B312" s="55" t="s">
        <v>450</v>
      </c>
      <c r="C312" s="55" t="s">
        <v>436</v>
      </c>
      <c r="D312" s="65">
        <v>8192</v>
      </c>
      <c r="E312" s="64">
        <v>2</v>
      </c>
      <c r="F312" s="64" t="s">
        <v>9</v>
      </c>
      <c r="G312" s="55" t="s">
        <v>454</v>
      </c>
      <c r="H312" s="65" t="s">
        <v>74</v>
      </c>
      <c r="I312" s="64" t="s">
        <v>125</v>
      </c>
      <c r="J312" s="71" t="s">
        <v>453</v>
      </c>
    </row>
    <row r="313" spans="1:10" ht="24" x14ac:dyDescent="0.25">
      <c r="A313" s="60">
        <v>4</v>
      </c>
      <c r="B313" s="55" t="s">
        <v>302</v>
      </c>
      <c r="C313" s="55" t="s">
        <v>452</v>
      </c>
      <c r="D313" s="64">
        <v>65280</v>
      </c>
      <c r="E313" s="64">
        <v>2</v>
      </c>
      <c r="F313" s="64" t="s">
        <v>9</v>
      </c>
      <c r="G313" s="55" t="s">
        <v>326</v>
      </c>
      <c r="H313" s="64" t="s">
        <v>78</v>
      </c>
      <c r="I313" s="64" t="s">
        <v>125</v>
      </c>
      <c r="J313" s="71" t="s">
        <v>456</v>
      </c>
    </row>
    <row r="314" spans="1:10" ht="24" x14ac:dyDescent="0.25">
      <c r="A314" s="49">
        <v>5</v>
      </c>
      <c r="B314" s="55" t="s">
        <v>303</v>
      </c>
      <c r="C314" s="55" t="s">
        <v>452</v>
      </c>
      <c r="D314" s="64">
        <v>65281</v>
      </c>
      <c r="E314" s="64">
        <v>2</v>
      </c>
      <c r="F314" s="64" t="s">
        <v>9</v>
      </c>
      <c r="G314" s="55" t="s">
        <v>327</v>
      </c>
      <c r="H314" s="64" t="s">
        <v>78</v>
      </c>
      <c r="I314" s="64" t="s">
        <v>125</v>
      </c>
      <c r="J314" s="71" t="s">
        <v>457</v>
      </c>
    </row>
    <row r="315" spans="1:10" ht="24" x14ac:dyDescent="0.25">
      <c r="A315" s="49">
        <v>6</v>
      </c>
      <c r="B315" s="55" t="s">
        <v>435</v>
      </c>
      <c r="C315" s="55" t="s">
        <v>452</v>
      </c>
      <c r="D315" s="64">
        <v>65282</v>
      </c>
      <c r="E315" s="64">
        <v>2</v>
      </c>
      <c r="F315" s="64" t="s">
        <v>9</v>
      </c>
      <c r="G315" s="55" t="s">
        <v>437</v>
      </c>
      <c r="H315" s="65" t="s">
        <v>74</v>
      </c>
      <c r="I315" s="64" t="s">
        <v>125</v>
      </c>
      <c r="J315" s="71" t="s">
        <v>458</v>
      </c>
    </row>
    <row r="316" spans="1:10" x14ac:dyDescent="0.25">
      <c r="A316" s="60">
        <v>7</v>
      </c>
      <c r="B316" s="55" t="s">
        <v>438</v>
      </c>
      <c r="C316" s="55" t="s">
        <v>452</v>
      </c>
      <c r="D316" s="64">
        <v>65283</v>
      </c>
      <c r="E316" s="64">
        <v>2</v>
      </c>
      <c r="F316" s="64" t="s">
        <v>9</v>
      </c>
      <c r="G316" s="55" t="s">
        <v>439</v>
      </c>
      <c r="H316" s="65" t="s">
        <v>74</v>
      </c>
      <c r="I316" s="64" t="s">
        <v>125</v>
      </c>
      <c r="J316" s="71" t="s">
        <v>459</v>
      </c>
    </row>
    <row r="317" spans="1:10" ht="24" x14ac:dyDescent="0.25">
      <c r="A317" s="60">
        <v>8</v>
      </c>
      <c r="B317" s="55" t="s">
        <v>304</v>
      </c>
      <c r="C317" s="55" t="s">
        <v>452</v>
      </c>
      <c r="D317" s="64">
        <v>65284</v>
      </c>
      <c r="E317" s="64">
        <v>2</v>
      </c>
      <c r="F317" s="64" t="s">
        <v>9</v>
      </c>
      <c r="G317" s="55" t="s">
        <v>328</v>
      </c>
      <c r="H317" s="64" t="s">
        <v>78</v>
      </c>
      <c r="I317" s="64" t="s">
        <v>125</v>
      </c>
      <c r="J317" s="71" t="s">
        <v>460</v>
      </c>
    </row>
    <row r="318" spans="1:10" x14ac:dyDescent="0.25">
      <c r="A318" s="49">
        <v>9</v>
      </c>
      <c r="B318" s="55" t="s">
        <v>116</v>
      </c>
      <c r="C318" s="55" t="s">
        <v>452</v>
      </c>
      <c r="D318" s="64">
        <v>65285</v>
      </c>
      <c r="E318" s="64">
        <v>2</v>
      </c>
      <c r="F318" s="64" t="s">
        <v>9</v>
      </c>
      <c r="G318" s="55" t="s">
        <v>116</v>
      </c>
      <c r="H318" s="64" t="s">
        <v>78</v>
      </c>
      <c r="I318" s="64" t="s">
        <v>125</v>
      </c>
      <c r="J318" s="71" t="s">
        <v>461</v>
      </c>
    </row>
    <row r="319" spans="1:10" ht="24" x14ac:dyDescent="0.25">
      <c r="A319" s="49">
        <v>10</v>
      </c>
      <c r="B319" s="55" t="s">
        <v>462</v>
      </c>
      <c r="C319" s="55" t="s">
        <v>452</v>
      </c>
      <c r="D319" s="64">
        <v>65286</v>
      </c>
      <c r="E319" s="64">
        <v>2</v>
      </c>
      <c r="F319" s="64" t="s">
        <v>9</v>
      </c>
      <c r="G319" s="55" t="s">
        <v>482</v>
      </c>
      <c r="H319" s="64" t="s">
        <v>78</v>
      </c>
      <c r="I319" s="64" t="s">
        <v>125</v>
      </c>
      <c r="J319" s="71" t="s">
        <v>463</v>
      </c>
    </row>
    <row r="320" spans="1:10" ht="44.4" customHeight="1" x14ac:dyDescent="0.25">
      <c r="A320" s="92">
        <v>11</v>
      </c>
      <c r="B320" s="98" t="s">
        <v>715</v>
      </c>
      <c r="C320" s="98" t="s">
        <v>452</v>
      </c>
      <c r="D320" s="100">
        <v>65287</v>
      </c>
      <c r="E320" s="100">
        <v>2</v>
      </c>
      <c r="F320" s="100" t="s">
        <v>9</v>
      </c>
      <c r="G320" s="98" t="s">
        <v>718</v>
      </c>
      <c r="H320" s="100" t="s">
        <v>78</v>
      </c>
      <c r="I320" s="100" t="s">
        <v>125</v>
      </c>
      <c r="J320" s="101" t="s">
        <v>713</v>
      </c>
    </row>
    <row r="321" spans="1:10" ht="28.8" customHeight="1" x14ac:dyDescent="0.25">
      <c r="A321" s="92">
        <v>12</v>
      </c>
      <c r="B321" s="98" t="s">
        <v>716</v>
      </c>
      <c r="C321" s="98" t="s">
        <v>452</v>
      </c>
      <c r="D321" s="100">
        <v>65288</v>
      </c>
      <c r="E321" s="100">
        <v>2</v>
      </c>
      <c r="F321" s="100" t="s">
        <v>9</v>
      </c>
      <c r="G321" s="98" t="s">
        <v>717</v>
      </c>
      <c r="H321" s="100" t="s">
        <v>78</v>
      </c>
      <c r="I321" s="100" t="s">
        <v>125</v>
      </c>
      <c r="J321" s="101" t="s">
        <v>714</v>
      </c>
    </row>
    <row r="322" spans="1:10" x14ac:dyDescent="0.25">
      <c r="A322" s="49">
        <v>13</v>
      </c>
      <c r="B322" s="7" t="s">
        <v>204</v>
      </c>
      <c r="C322" s="26" t="s">
        <v>436</v>
      </c>
      <c r="D322" s="25">
        <v>65520</v>
      </c>
      <c r="E322" s="25">
        <v>2</v>
      </c>
      <c r="F322" s="25" t="s">
        <v>9</v>
      </c>
      <c r="G322" s="7" t="s">
        <v>306</v>
      </c>
      <c r="H322" s="25" t="s">
        <v>74</v>
      </c>
      <c r="I322" s="28" t="s">
        <v>125</v>
      </c>
      <c r="J322" s="50" t="s">
        <v>368</v>
      </c>
    </row>
    <row r="323" spans="1:10" ht="36" x14ac:dyDescent="0.25">
      <c r="A323" s="49">
        <v>14</v>
      </c>
      <c r="B323" s="26" t="s">
        <v>75</v>
      </c>
      <c r="C323" s="26" t="s">
        <v>436</v>
      </c>
      <c r="D323" s="28">
        <v>65521</v>
      </c>
      <c r="E323" s="28">
        <v>2</v>
      </c>
      <c r="F323" s="28" t="s">
        <v>9</v>
      </c>
      <c r="G323" s="26" t="s">
        <v>205</v>
      </c>
      <c r="H323" s="25" t="s">
        <v>74</v>
      </c>
      <c r="I323" s="28" t="s">
        <v>135</v>
      </c>
      <c r="J323" s="50" t="s">
        <v>208</v>
      </c>
    </row>
    <row r="324" spans="1:10" ht="24" x14ac:dyDescent="0.25">
      <c r="A324" s="60">
        <v>15</v>
      </c>
      <c r="B324" s="26" t="s">
        <v>76</v>
      </c>
      <c r="C324" s="26" t="s">
        <v>452</v>
      </c>
      <c r="D324" s="28">
        <v>65522</v>
      </c>
      <c r="E324" s="28">
        <v>2</v>
      </c>
      <c r="F324" s="28" t="s">
        <v>9</v>
      </c>
      <c r="G324" s="26" t="s">
        <v>305</v>
      </c>
      <c r="H324" s="25" t="s">
        <v>74</v>
      </c>
      <c r="I324" s="28" t="s">
        <v>135</v>
      </c>
      <c r="J324" s="50" t="s">
        <v>209</v>
      </c>
    </row>
    <row r="325" spans="1:10" x14ac:dyDescent="0.25">
      <c r="A325" s="60">
        <v>16</v>
      </c>
      <c r="B325" s="7" t="s">
        <v>79</v>
      </c>
      <c r="C325" s="26" t="s">
        <v>452</v>
      </c>
      <c r="D325" s="25">
        <v>65523</v>
      </c>
      <c r="E325" s="25">
        <v>2</v>
      </c>
      <c r="F325" s="25" t="s">
        <v>9</v>
      </c>
      <c r="G325" s="7" t="s">
        <v>206</v>
      </c>
      <c r="H325" s="25" t="s">
        <v>78</v>
      </c>
      <c r="I325" s="28" t="s">
        <v>125</v>
      </c>
      <c r="J325" s="50" t="s">
        <v>210</v>
      </c>
    </row>
    <row r="326" spans="1:10" x14ac:dyDescent="0.25">
      <c r="A326" s="49">
        <v>17</v>
      </c>
      <c r="B326" s="26" t="s">
        <v>503</v>
      </c>
      <c r="C326" s="26" t="s">
        <v>452</v>
      </c>
      <c r="D326" s="28">
        <v>65524</v>
      </c>
      <c r="E326" s="28">
        <v>2</v>
      </c>
      <c r="F326" s="28" t="s">
        <v>9</v>
      </c>
      <c r="G326" s="26" t="s">
        <v>504</v>
      </c>
      <c r="H326" s="28" t="s">
        <v>74</v>
      </c>
      <c r="I326" s="28" t="s">
        <v>505</v>
      </c>
      <c r="J326" s="50" t="s">
        <v>506</v>
      </c>
    </row>
    <row r="327" spans="1:10" x14ac:dyDescent="0.25">
      <c r="A327" s="49">
        <v>18</v>
      </c>
      <c r="B327" s="26" t="s">
        <v>594</v>
      </c>
      <c r="C327" s="26" t="s">
        <v>452</v>
      </c>
      <c r="D327" s="28">
        <v>65525</v>
      </c>
      <c r="E327" s="28">
        <v>2</v>
      </c>
      <c r="F327" s="28" t="s">
        <v>9</v>
      </c>
      <c r="G327" s="26" t="s">
        <v>591</v>
      </c>
      <c r="H327" s="28" t="s">
        <v>74</v>
      </c>
      <c r="I327" s="28" t="s">
        <v>505</v>
      </c>
      <c r="J327" s="50" t="s">
        <v>592</v>
      </c>
    </row>
    <row r="328" spans="1:10" ht="36" x14ac:dyDescent="0.25">
      <c r="A328" s="60">
        <v>19</v>
      </c>
      <c r="B328" s="26" t="s">
        <v>595</v>
      </c>
      <c r="C328" s="26" t="s">
        <v>452</v>
      </c>
      <c r="D328" s="28">
        <v>65526</v>
      </c>
      <c r="E328" s="28">
        <v>2</v>
      </c>
      <c r="F328" s="28" t="s">
        <v>9</v>
      </c>
      <c r="G328" s="26" t="s">
        <v>596</v>
      </c>
      <c r="H328" s="28" t="s">
        <v>74</v>
      </c>
      <c r="I328" s="28" t="s">
        <v>505</v>
      </c>
      <c r="J328" s="50" t="s">
        <v>593</v>
      </c>
    </row>
    <row r="329" spans="1:10" x14ac:dyDescent="0.25">
      <c r="A329" s="49"/>
      <c r="B329" s="26"/>
      <c r="C329" s="26"/>
      <c r="D329" s="28"/>
      <c r="E329" s="28"/>
      <c r="F329" s="28"/>
      <c r="G329" s="28"/>
      <c r="H329" s="25"/>
      <c r="I329" s="28"/>
      <c r="J329" s="50"/>
    </row>
    <row r="330" spans="1:10" ht="14.55" customHeight="1" x14ac:dyDescent="0.25">
      <c r="A330" s="115" t="s">
        <v>207</v>
      </c>
      <c r="B330" s="116"/>
      <c r="C330" s="116"/>
      <c r="D330" s="116"/>
      <c r="E330" s="116"/>
      <c r="F330" s="116"/>
      <c r="G330" s="116"/>
      <c r="H330" s="116"/>
      <c r="I330" s="116"/>
      <c r="J330" s="117"/>
    </row>
    <row r="331" spans="1:10" ht="15" customHeight="1" x14ac:dyDescent="0.25">
      <c r="A331" s="49">
        <v>1</v>
      </c>
      <c r="B331" s="26" t="s">
        <v>215</v>
      </c>
      <c r="C331" s="7" t="s">
        <v>455</v>
      </c>
      <c r="D331" s="28">
        <v>4096</v>
      </c>
      <c r="E331" s="28" t="s">
        <v>216</v>
      </c>
      <c r="F331" s="25" t="s">
        <v>9</v>
      </c>
      <c r="G331" s="26" t="s">
        <v>213</v>
      </c>
      <c r="H331" s="28" t="s">
        <v>201</v>
      </c>
      <c r="I331" s="28" t="s">
        <v>125</v>
      </c>
      <c r="J331" s="50" t="s">
        <v>159</v>
      </c>
    </row>
    <row r="332" spans="1:10" ht="15" customHeight="1" x14ac:dyDescent="0.25">
      <c r="A332" s="49">
        <v>2</v>
      </c>
      <c r="B332" s="26" t="s">
        <v>203</v>
      </c>
      <c r="C332" s="7" t="s">
        <v>455</v>
      </c>
      <c r="D332" s="28">
        <v>5358</v>
      </c>
      <c r="E332" s="28" t="s">
        <v>216</v>
      </c>
      <c r="F332" s="28" t="s">
        <v>202</v>
      </c>
      <c r="G332" s="26" t="s">
        <v>213</v>
      </c>
      <c r="H332" s="28" t="s">
        <v>201</v>
      </c>
      <c r="I332" s="28" t="s">
        <v>125</v>
      </c>
      <c r="J332" s="50" t="s">
        <v>448</v>
      </c>
    </row>
    <row r="333" spans="1:10" ht="51" customHeight="1" x14ac:dyDescent="0.25">
      <c r="A333" s="49">
        <v>3</v>
      </c>
      <c r="B333" s="26" t="s">
        <v>507</v>
      </c>
      <c r="C333" s="26" t="s">
        <v>369</v>
      </c>
      <c r="D333" s="28">
        <v>61440</v>
      </c>
      <c r="E333" s="28">
        <v>4</v>
      </c>
      <c r="F333" s="28" t="s">
        <v>609</v>
      </c>
      <c r="G333" s="26" t="s">
        <v>509</v>
      </c>
      <c r="H333" s="28" t="s">
        <v>78</v>
      </c>
      <c r="I333" s="28" t="s">
        <v>125</v>
      </c>
      <c r="J333" s="50" t="s">
        <v>508</v>
      </c>
    </row>
    <row r="334" spans="1:10" ht="87" customHeight="1" x14ac:dyDescent="0.25">
      <c r="A334" s="49">
        <v>4</v>
      </c>
      <c r="B334" s="26" t="s">
        <v>607</v>
      </c>
      <c r="C334" s="26" t="s">
        <v>608</v>
      </c>
      <c r="D334" s="28">
        <v>61600</v>
      </c>
      <c r="E334" s="28">
        <v>6</v>
      </c>
      <c r="F334" s="28" t="s">
        <v>609</v>
      </c>
      <c r="G334" s="26" t="s">
        <v>614</v>
      </c>
      <c r="H334" s="28" t="s">
        <v>610</v>
      </c>
      <c r="I334" s="28" t="s">
        <v>611</v>
      </c>
      <c r="J334" s="50" t="s">
        <v>612</v>
      </c>
    </row>
    <row r="335" spans="1:10" x14ac:dyDescent="0.25">
      <c r="A335" s="49">
        <v>5</v>
      </c>
      <c r="B335" s="7" t="s">
        <v>73</v>
      </c>
      <c r="C335" s="7" t="s">
        <v>369</v>
      </c>
      <c r="D335" s="25">
        <v>65504</v>
      </c>
      <c r="E335" s="25">
        <v>4</v>
      </c>
      <c r="F335" s="25" t="s">
        <v>9</v>
      </c>
      <c r="G335" s="7" t="s">
        <v>527</v>
      </c>
      <c r="H335" s="25" t="s">
        <v>74</v>
      </c>
      <c r="I335" s="28" t="s">
        <v>135</v>
      </c>
      <c r="J335" s="50" t="s">
        <v>211</v>
      </c>
    </row>
    <row r="336" spans="1:10" ht="171.6" customHeight="1" x14ac:dyDescent="0.25">
      <c r="A336" s="49">
        <v>6</v>
      </c>
      <c r="B336" s="55" t="s">
        <v>80</v>
      </c>
      <c r="C336" s="55" t="s">
        <v>369</v>
      </c>
      <c r="D336" s="64">
        <v>65472</v>
      </c>
      <c r="E336" s="64">
        <v>9</v>
      </c>
      <c r="F336" s="64" t="s">
        <v>77</v>
      </c>
      <c r="G336" s="55" t="s">
        <v>464</v>
      </c>
      <c r="H336" s="64" t="s">
        <v>78</v>
      </c>
      <c r="I336" s="64" t="s">
        <v>135</v>
      </c>
      <c r="J336" s="71" t="s">
        <v>370</v>
      </c>
    </row>
    <row r="337" spans="1:10" ht="84" x14ac:dyDescent="0.25">
      <c r="A337" s="49">
        <v>7</v>
      </c>
      <c r="B337" s="26" t="s">
        <v>212</v>
      </c>
      <c r="C337" s="7" t="s">
        <v>369</v>
      </c>
      <c r="D337" s="28">
        <v>65488</v>
      </c>
      <c r="E337" s="28">
        <v>9</v>
      </c>
      <c r="F337" s="28" t="s">
        <v>9</v>
      </c>
      <c r="G337" s="26" t="s">
        <v>481</v>
      </c>
      <c r="H337" s="28" t="s">
        <v>74</v>
      </c>
      <c r="I337" s="28" t="s">
        <v>135</v>
      </c>
      <c r="J337" s="50" t="s">
        <v>371</v>
      </c>
    </row>
    <row r="338" spans="1:10" ht="16.2" customHeight="1" x14ac:dyDescent="0.25">
      <c r="A338" s="49">
        <v>8</v>
      </c>
      <c r="B338" s="26" t="s">
        <v>284</v>
      </c>
      <c r="C338" s="26" t="s">
        <v>452</v>
      </c>
      <c r="D338" s="28">
        <v>65528</v>
      </c>
      <c r="E338" s="28">
        <v>2</v>
      </c>
      <c r="F338" s="28" t="s">
        <v>9</v>
      </c>
      <c r="G338" s="26" t="s">
        <v>286</v>
      </c>
      <c r="H338" s="25" t="s">
        <v>74</v>
      </c>
      <c r="I338" s="28" t="s">
        <v>125</v>
      </c>
      <c r="J338" s="50" t="s">
        <v>285</v>
      </c>
    </row>
    <row r="339" spans="1:10" ht="14.4" customHeight="1" x14ac:dyDescent="0.25">
      <c r="A339" s="49">
        <v>9</v>
      </c>
      <c r="B339" s="26" t="s">
        <v>287</v>
      </c>
      <c r="C339" s="26" t="s">
        <v>452</v>
      </c>
      <c r="D339" s="28">
        <v>65529</v>
      </c>
      <c r="E339" s="28">
        <v>2</v>
      </c>
      <c r="F339" s="28" t="s">
        <v>9</v>
      </c>
      <c r="G339" s="26" t="s">
        <v>288</v>
      </c>
      <c r="H339" s="25" t="s">
        <v>74</v>
      </c>
      <c r="I339" s="28" t="s">
        <v>125</v>
      </c>
      <c r="J339" s="50" t="s">
        <v>289</v>
      </c>
    </row>
    <row r="340" spans="1:10" ht="15" thickBot="1" x14ac:dyDescent="0.3">
      <c r="A340" s="56"/>
      <c r="B340" s="57"/>
      <c r="C340" s="57"/>
      <c r="D340" s="29"/>
      <c r="E340" s="29"/>
      <c r="F340" s="29"/>
      <c r="G340" s="29"/>
      <c r="H340" s="29"/>
      <c r="I340" s="29"/>
      <c r="J340" s="58"/>
    </row>
    <row r="341" spans="1:10" x14ac:dyDescent="0.25">
      <c r="A341" s="30"/>
      <c r="B341" s="30"/>
      <c r="C341" s="30"/>
      <c r="D341" s="30"/>
      <c r="E341" s="30"/>
      <c r="F341" s="30"/>
      <c r="G341" s="30"/>
      <c r="H341" s="30"/>
      <c r="I341" s="30"/>
      <c r="J341" s="30"/>
    </row>
    <row r="342" spans="1:10" x14ac:dyDescent="0.25">
      <c r="A342" s="30"/>
      <c r="B342" s="30"/>
      <c r="C342" s="30"/>
      <c r="D342" s="30"/>
      <c r="E342" s="30"/>
      <c r="F342" s="30"/>
      <c r="G342" s="30"/>
      <c r="H342" s="30"/>
      <c r="I342" s="30"/>
      <c r="J342" s="30"/>
    </row>
    <row r="343" spans="1:10" x14ac:dyDescent="0.25">
      <c r="A343" s="30"/>
      <c r="B343" s="30"/>
      <c r="C343" s="30"/>
      <c r="D343" s="30"/>
      <c r="E343" s="30"/>
      <c r="F343" s="30"/>
      <c r="G343" s="30"/>
      <c r="H343" s="30"/>
      <c r="I343" s="30"/>
      <c r="J343" s="30"/>
    </row>
    <row r="344" spans="1:10" x14ac:dyDescent="0.25">
      <c r="A344" s="30"/>
      <c r="B344" s="30"/>
      <c r="C344" s="30"/>
      <c r="D344" s="30"/>
      <c r="E344" s="30"/>
      <c r="F344" s="30"/>
      <c r="G344" s="30"/>
      <c r="H344" s="30"/>
      <c r="I344" s="30"/>
      <c r="J344" s="30"/>
    </row>
    <row r="345" spans="1:10" x14ac:dyDescent="0.25">
      <c r="A345" s="30"/>
      <c r="B345" s="30"/>
      <c r="C345" s="30"/>
      <c r="D345" s="30"/>
      <c r="E345" s="30"/>
      <c r="F345" s="30"/>
      <c r="G345" s="30"/>
      <c r="H345" s="30"/>
      <c r="I345" s="30"/>
      <c r="J345" s="30"/>
    </row>
    <row r="346" spans="1:10" x14ac:dyDescent="0.25">
      <c r="A346" s="30"/>
      <c r="B346" s="30"/>
      <c r="C346" s="30"/>
      <c r="D346" s="30"/>
      <c r="E346" s="30"/>
      <c r="F346" s="30"/>
      <c r="G346" s="30"/>
      <c r="H346" s="30"/>
      <c r="I346" s="30"/>
      <c r="J346" s="30"/>
    </row>
    <row r="347" spans="1:10" x14ac:dyDescent="0.25">
      <c r="A347" s="30"/>
      <c r="B347" s="30"/>
      <c r="C347" s="30"/>
      <c r="D347" s="30"/>
      <c r="E347" s="30"/>
      <c r="F347" s="30"/>
      <c r="G347" s="30"/>
      <c r="H347" s="30"/>
      <c r="I347" s="30"/>
      <c r="J347" s="30"/>
    </row>
    <row r="348" spans="1:10" x14ac:dyDescent="0.25">
      <c r="A348" s="30"/>
      <c r="B348" s="30"/>
      <c r="C348" s="30"/>
      <c r="D348" s="30"/>
      <c r="E348" s="30"/>
      <c r="F348" s="30"/>
      <c r="G348" s="30"/>
      <c r="H348" s="30"/>
      <c r="I348" s="30"/>
      <c r="J348" s="30"/>
    </row>
    <row r="349" spans="1:10" x14ac:dyDescent="0.25">
      <c r="A349" s="30"/>
      <c r="B349" s="30"/>
      <c r="C349" s="30"/>
      <c r="D349" s="30"/>
      <c r="E349" s="30"/>
      <c r="F349" s="30"/>
      <c r="G349" s="30"/>
      <c r="H349" s="30"/>
      <c r="I349" s="30"/>
      <c r="J349" s="30"/>
    </row>
    <row r="350" spans="1:10" x14ac:dyDescent="0.25">
      <c r="A350" s="30"/>
      <c r="B350" s="30"/>
      <c r="C350" s="30"/>
      <c r="D350" s="30"/>
      <c r="E350" s="30"/>
      <c r="F350" s="30"/>
      <c r="G350" s="30"/>
      <c r="H350" s="30"/>
      <c r="I350" s="30"/>
      <c r="J350" s="30"/>
    </row>
    <row r="351" spans="1:10" x14ac:dyDescent="0.25">
      <c r="A351" s="30"/>
      <c r="B351" s="30"/>
      <c r="C351" s="30"/>
      <c r="D351" s="30"/>
      <c r="E351" s="30"/>
      <c r="F351" s="30"/>
      <c r="G351" s="30"/>
      <c r="H351" s="30"/>
      <c r="I351" s="30"/>
      <c r="J351" s="30"/>
    </row>
    <row r="352" spans="1:10" x14ac:dyDescent="0.25">
      <c r="A352" s="30"/>
      <c r="B352" s="30"/>
      <c r="C352" s="30"/>
      <c r="D352" s="30"/>
      <c r="E352" s="30"/>
      <c r="F352" s="30"/>
      <c r="G352" s="30"/>
      <c r="H352" s="30"/>
      <c r="I352" s="30"/>
      <c r="J352" s="30"/>
    </row>
    <row r="353" spans="1:10" x14ac:dyDescent="0.25">
      <c r="A353" s="30"/>
      <c r="B353" s="30"/>
      <c r="C353" s="30"/>
      <c r="D353" s="30"/>
      <c r="E353" s="30"/>
      <c r="F353" s="30"/>
      <c r="G353" s="30"/>
      <c r="H353" s="30"/>
      <c r="I353" s="30"/>
      <c r="J353" s="30"/>
    </row>
    <row r="354" spans="1:10" x14ac:dyDescent="0.25">
      <c r="A354" s="30"/>
      <c r="B354" s="30"/>
      <c r="C354" s="30"/>
      <c r="D354" s="30"/>
      <c r="E354" s="30"/>
      <c r="F354" s="30"/>
      <c r="G354" s="30"/>
      <c r="H354" s="30"/>
      <c r="I354" s="30"/>
      <c r="J354" s="30"/>
    </row>
    <row r="355" spans="1:10" x14ac:dyDescent="0.25">
      <c r="A355" s="30"/>
      <c r="B355" s="30"/>
      <c r="C355" s="30"/>
      <c r="D355" s="30"/>
      <c r="E355" s="30"/>
      <c r="F355" s="30"/>
      <c r="G355" s="30"/>
      <c r="H355" s="30"/>
      <c r="I355" s="30"/>
      <c r="J355" s="30"/>
    </row>
    <row r="356" spans="1:10" x14ac:dyDescent="0.25">
      <c r="A356" s="30"/>
      <c r="B356" s="30"/>
      <c r="C356" s="30"/>
      <c r="D356" s="30"/>
      <c r="E356" s="30"/>
      <c r="F356" s="30"/>
      <c r="G356" s="30"/>
      <c r="H356" s="30"/>
      <c r="I356" s="30"/>
      <c r="J356" s="30"/>
    </row>
    <row r="357" spans="1:10" x14ac:dyDescent="0.25">
      <c r="A357" s="30"/>
      <c r="B357" s="30"/>
      <c r="C357" s="30"/>
      <c r="D357" s="30"/>
      <c r="E357" s="30"/>
      <c r="F357" s="30"/>
      <c r="G357" s="30"/>
      <c r="H357" s="30"/>
      <c r="I357" s="30"/>
      <c r="J357" s="30"/>
    </row>
    <row r="358" spans="1:10" x14ac:dyDescent="0.25">
      <c r="A358" s="30"/>
      <c r="B358" s="30"/>
      <c r="C358" s="30"/>
      <c r="D358" s="30"/>
      <c r="E358" s="30"/>
      <c r="F358" s="30"/>
      <c r="G358" s="30"/>
      <c r="H358" s="30"/>
      <c r="I358" s="30"/>
      <c r="J358" s="30"/>
    </row>
    <row r="359" spans="1:10" x14ac:dyDescent="0.25">
      <c r="A359" s="30"/>
      <c r="B359" s="30"/>
      <c r="C359" s="30"/>
      <c r="D359" s="30"/>
      <c r="E359" s="30"/>
      <c r="F359" s="30"/>
      <c r="G359" s="30"/>
      <c r="H359" s="30"/>
      <c r="I359" s="30"/>
      <c r="J359" s="30"/>
    </row>
    <row r="360" spans="1:10" x14ac:dyDescent="0.25">
      <c r="A360" s="30"/>
      <c r="B360" s="30"/>
      <c r="C360" s="30"/>
      <c r="D360" s="30"/>
      <c r="E360" s="30"/>
      <c r="F360" s="30"/>
      <c r="G360" s="30"/>
      <c r="H360" s="30"/>
      <c r="I360" s="30"/>
      <c r="J360" s="30"/>
    </row>
    <row r="361" spans="1:10" x14ac:dyDescent="0.25">
      <c r="A361" s="30"/>
      <c r="B361" s="30"/>
      <c r="C361" s="30"/>
      <c r="D361" s="30"/>
      <c r="E361" s="30"/>
      <c r="F361" s="30"/>
      <c r="G361" s="30"/>
      <c r="H361" s="30"/>
      <c r="I361" s="30"/>
      <c r="J361" s="30"/>
    </row>
    <row r="362" spans="1:10" x14ac:dyDescent="0.25">
      <c r="A362" s="30"/>
      <c r="B362" s="30"/>
      <c r="C362" s="30"/>
      <c r="D362" s="30"/>
      <c r="E362" s="30"/>
      <c r="F362" s="30"/>
      <c r="G362" s="30"/>
      <c r="H362" s="30"/>
      <c r="I362" s="30"/>
      <c r="J362" s="30"/>
    </row>
    <row r="363" spans="1:10" x14ac:dyDescent="0.25">
      <c r="A363" s="30"/>
      <c r="B363" s="30"/>
      <c r="C363" s="30"/>
      <c r="D363" s="30"/>
      <c r="E363" s="30"/>
      <c r="F363" s="30"/>
      <c r="G363" s="30"/>
      <c r="H363" s="30"/>
      <c r="I363" s="30"/>
      <c r="J363" s="30"/>
    </row>
    <row r="364" spans="1:10" x14ac:dyDescent="0.25">
      <c r="A364" s="30"/>
      <c r="B364" s="30"/>
      <c r="C364" s="30"/>
      <c r="D364" s="30"/>
      <c r="E364" s="30"/>
      <c r="F364" s="30"/>
      <c r="G364" s="30"/>
      <c r="H364" s="30"/>
      <c r="I364" s="30"/>
      <c r="J364" s="30"/>
    </row>
    <row r="365" spans="1:10" x14ac:dyDescent="0.25">
      <c r="A365" s="30"/>
      <c r="B365" s="30"/>
      <c r="C365" s="30"/>
      <c r="D365" s="30"/>
      <c r="E365" s="30"/>
      <c r="F365" s="30"/>
      <c r="G365" s="30"/>
      <c r="H365" s="30"/>
      <c r="I365" s="30"/>
      <c r="J365" s="30"/>
    </row>
    <row r="366" spans="1:10" x14ac:dyDescent="0.25">
      <c r="A366" s="30"/>
      <c r="B366" s="30"/>
      <c r="C366" s="30"/>
      <c r="D366" s="30"/>
      <c r="E366" s="30"/>
      <c r="F366" s="30"/>
      <c r="G366" s="30"/>
      <c r="H366" s="30"/>
      <c r="I366" s="30"/>
      <c r="J366" s="30"/>
    </row>
    <row r="367" spans="1:10" x14ac:dyDescent="0.25">
      <c r="A367" s="30"/>
      <c r="B367" s="30"/>
      <c r="C367" s="30"/>
      <c r="D367" s="30"/>
      <c r="E367" s="30"/>
      <c r="F367" s="30"/>
      <c r="G367" s="30"/>
      <c r="H367" s="30"/>
      <c r="I367" s="30"/>
      <c r="J367" s="30"/>
    </row>
    <row r="368" spans="1:10" x14ac:dyDescent="0.25">
      <c r="A368" s="30"/>
      <c r="B368" s="30"/>
      <c r="C368" s="30"/>
      <c r="D368" s="30"/>
      <c r="E368" s="30"/>
      <c r="F368" s="30"/>
      <c r="G368" s="30"/>
      <c r="H368" s="30"/>
      <c r="I368" s="30"/>
      <c r="J368" s="30"/>
    </row>
    <row r="369" spans="1:10" x14ac:dyDescent="0.25">
      <c r="A369" s="30"/>
      <c r="B369" s="30"/>
      <c r="C369" s="30"/>
      <c r="D369" s="30"/>
      <c r="E369" s="30"/>
      <c r="F369" s="30"/>
      <c r="G369" s="30"/>
      <c r="H369" s="30"/>
      <c r="I369" s="30"/>
      <c r="J369" s="30"/>
    </row>
    <row r="370" spans="1:10" x14ac:dyDescent="0.25">
      <c r="A370" s="30"/>
      <c r="B370" s="30"/>
      <c r="C370" s="30"/>
      <c r="D370" s="30"/>
      <c r="E370" s="30"/>
      <c r="F370" s="30"/>
      <c r="G370" s="30"/>
      <c r="H370" s="30"/>
      <c r="I370" s="30"/>
      <c r="J370" s="30"/>
    </row>
    <row r="371" spans="1:10" x14ac:dyDescent="0.25">
      <c r="A371" s="30"/>
      <c r="B371" s="30"/>
      <c r="C371" s="30"/>
      <c r="D371" s="30"/>
      <c r="E371" s="30"/>
      <c r="F371" s="30"/>
      <c r="G371" s="30"/>
      <c r="H371" s="30"/>
      <c r="I371" s="30"/>
      <c r="J371" s="30"/>
    </row>
    <row r="372" spans="1:10" x14ac:dyDescent="0.25">
      <c r="A372" s="30"/>
      <c r="B372" s="30"/>
      <c r="C372" s="30"/>
      <c r="D372" s="30"/>
      <c r="E372" s="30"/>
      <c r="F372" s="30"/>
      <c r="G372" s="30"/>
      <c r="H372" s="30"/>
      <c r="I372" s="30"/>
      <c r="J372" s="30"/>
    </row>
  </sheetData>
  <protectedRanges>
    <protectedRange sqref="D2 F2 J2 H2" name="参数配置"/>
  </protectedRanges>
  <mergeCells count="28">
    <mergeCell ref="A43:J43"/>
    <mergeCell ref="A109:J109"/>
    <mergeCell ref="A99:J99"/>
    <mergeCell ref="A103:J103"/>
    <mergeCell ref="A1:J1"/>
    <mergeCell ref="A3:J3"/>
    <mergeCell ref="B2:C2"/>
    <mergeCell ref="A29:J29"/>
    <mergeCell ref="A36:J36"/>
    <mergeCell ref="A5:J5"/>
    <mergeCell ref="A22:J22"/>
    <mergeCell ref="A6:J6"/>
    <mergeCell ref="A50:J50"/>
    <mergeCell ref="A75:J75"/>
    <mergeCell ref="A119:J119"/>
    <mergeCell ref="A86:J86"/>
    <mergeCell ref="A116:J116"/>
    <mergeCell ref="A330:J330"/>
    <mergeCell ref="A124:J124"/>
    <mergeCell ref="A202:J202"/>
    <mergeCell ref="A203:J203"/>
    <mergeCell ref="A214:J214"/>
    <mergeCell ref="A309:J309"/>
    <mergeCell ref="A226:J226"/>
    <mergeCell ref="A257:J257"/>
    <mergeCell ref="A290:J290"/>
    <mergeCell ref="A291:J291"/>
    <mergeCell ref="A241:J241"/>
  </mergeCells>
  <phoneticPr fontId="2" type="noConversion"/>
  <pageMargins left="0.69930555555555596" right="0.69930555555555596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zoomScaleNormal="100" workbookViewId="0">
      <selection sqref="A1:F3"/>
    </sheetView>
  </sheetViews>
  <sheetFormatPr defaultRowHeight="14.4" x14ac:dyDescent="0.25"/>
  <cols>
    <col min="1" max="1" width="13.88671875" bestFit="1" customWidth="1"/>
    <col min="2" max="2" width="45.6640625" bestFit="1" customWidth="1"/>
    <col min="3" max="3" width="16.109375" customWidth="1"/>
    <col min="4" max="4" width="35.88671875" customWidth="1"/>
    <col min="5" max="5" width="11.33203125" customWidth="1"/>
    <col min="6" max="6" width="37.88671875" customWidth="1"/>
  </cols>
  <sheetData>
    <row r="1" spans="1:6" x14ac:dyDescent="0.25">
      <c r="A1" s="146" t="s">
        <v>217</v>
      </c>
      <c r="B1" s="146"/>
      <c r="C1" s="146"/>
      <c r="D1" s="146"/>
      <c r="E1" s="146"/>
      <c r="F1" s="146"/>
    </row>
    <row r="2" spans="1:6" x14ac:dyDescent="0.25">
      <c r="A2" s="146"/>
      <c r="B2" s="146"/>
      <c r="C2" s="146"/>
      <c r="D2" s="146"/>
      <c r="E2" s="146"/>
      <c r="F2" s="146"/>
    </row>
    <row r="3" spans="1:6" x14ac:dyDescent="0.25">
      <c r="A3" s="146"/>
      <c r="B3" s="146"/>
      <c r="C3" s="146"/>
      <c r="D3" s="146"/>
      <c r="E3" s="146"/>
      <c r="F3" s="146"/>
    </row>
    <row r="4" spans="1:6" x14ac:dyDescent="0.25">
      <c r="A4" s="2" t="s">
        <v>109</v>
      </c>
      <c r="B4" s="2" t="s">
        <v>110</v>
      </c>
      <c r="C4" s="3" t="s">
        <v>111</v>
      </c>
      <c r="D4" s="3" t="s">
        <v>112</v>
      </c>
      <c r="E4" s="2" t="s">
        <v>113</v>
      </c>
      <c r="F4" s="17" t="s">
        <v>290</v>
      </c>
    </row>
    <row r="5" spans="1:6" x14ac:dyDescent="0.25">
      <c r="A5" s="4">
        <v>1</v>
      </c>
      <c r="B5" s="87" t="s">
        <v>574</v>
      </c>
      <c r="C5" s="13" t="s">
        <v>155</v>
      </c>
      <c r="D5" s="13" t="s">
        <v>307</v>
      </c>
      <c r="E5" s="147" t="s">
        <v>157</v>
      </c>
      <c r="F5" s="9" t="s">
        <v>292</v>
      </c>
    </row>
    <row r="6" spans="1:6" x14ac:dyDescent="0.25">
      <c r="A6" s="4">
        <v>2</v>
      </c>
      <c r="B6" s="87" t="s">
        <v>573</v>
      </c>
      <c r="C6" s="13" t="s">
        <v>155</v>
      </c>
      <c r="D6" s="13" t="s">
        <v>307</v>
      </c>
      <c r="E6" s="148"/>
      <c r="F6" s="9" t="s">
        <v>291</v>
      </c>
    </row>
    <row r="7" spans="1:6" x14ac:dyDescent="0.25">
      <c r="A7" s="4">
        <v>3</v>
      </c>
      <c r="B7" s="10" t="s">
        <v>572</v>
      </c>
      <c r="C7" s="13" t="s">
        <v>156</v>
      </c>
      <c r="D7" s="13" t="s">
        <v>308</v>
      </c>
      <c r="E7" s="148"/>
      <c r="F7" s="9" t="s">
        <v>293</v>
      </c>
    </row>
    <row r="8" spans="1:6" x14ac:dyDescent="0.25">
      <c r="A8" s="4">
        <v>4</v>
      </c>
      <c r="B8" s="11" t="s">
        <v>571</v>
      </c>
      <c r="C8" s="13" t="s">
        <v>156</v>
      </c>
      <c r="D8" s="13" t="s">
        <v>308</v>
      </c>
      <c r="E8" s="148"/>
      <c r="F8" s="9" t="s">
        <v>294</v>
      </c>
    </row>
    <row r="9" spans="1:6" x14ac:dyDescent="0.25">
      <c r="A9" s="4">
        <v>5</v>
      </c>
      <c r="B9" s="11" t="s">
        <v>665</v>
      </c>
      <c r="C9" s="79" t="s">
        <v>127</v>
      </c>
      <c r="D9" s="79" t="s">
        <v>127</v>
      </c>
      <c r="E9" s="148"/>
      <c r="F9" s="9" t="s">
        <v>295</v>
      </c>
    </row>
    <row r="10" spans="1:6" x14ac:dyDescent="0.25">
      <c r="A10" s="4">
        <v>6</v>
      </c>
      <c r="B10" s="11" t="s">
        <v>666</v>
      </c>
      <c r="C10" s="79" t="s">
        <v>127</v>
      </c>
      <c r="D10" s="79" t="s">
        <v>127</v>
      </c>
      <c r="E10" s="148"/>
      <c r="F10" s="9" t="s">
        <v>296</v>
      </c>
    </row>
    <row r="11" spans="1:6" x14ac:dyDescent="0.25">
      <c r="A11" s="4">
        <v>7</v>
      </c>
      <c r="B11" s="11" t="s">
        <v>570</v>
      </c>
      <c r="C11" s="13" t="s">
        <v>310</v>
      </c>
      <c r="D11" s="13" t="s">
        <v>309</v>
      </c>
      <c r="E11" s="149"/>
      <c r="F11" s="9" t="s">
        <v>297</v>
      </c>
    </row>
    <row r="12" spans="1:6" x14ac:dyDescent="0.25">
      <c r="A12" s="4">
        <v>8</v>
      </c>
      <c r="B12" s="11" t="s">
        <v>569</v>
      </c>
      <c r="C12" s="13">
        <v>0</v>
      </c>
      <c r="D12" s="13" t="s">
        <v>667</v>
      </c>
      <c r="E12" s="150"/>
      <c r="F12" s="5"/>
    </row>
    <row r="13" spans="1:6" x14ac:dyDescent="0.25">
      <c r="A13" s="4">
        <v>9</v>
      </c>
      <c r="B13" s="11" t="s">
        <v>568</v>
      </c>
      <c r="C13" s="13" t="s">
        <v>115</v>
      </c>
      <c r="D13" s="13" t="s">
        <v>311</v>
      </c>
      <c r="E13" s="147" t="s">
        <v>120</v>
      </c>
      <c r="F13" s="5"/>
    </row>
    <row r="14" spans="1:6" x14ac:dyDescent="0.25">
      <c r="A14" s="12">
        <v>10</v>
      </c>
      <c r="B14" s="11" t="s">
        <v>567</v>
      </c>
      <c r="C14" s="13" t="s">
        <v>115</v>
      </c>
      <c r="D14" s="13" t="s">
        <v>311</v>
      </c>
      <c r="E14" s="148"/>
      <c r="F14" s="5"/>
    </row>
    <row r="15" spans="1:6" x14ac:dyDescent="0.25">
      <c r="A15" s="12">
        <v>11</v>
      </c>
      <c r="B15" s="11" t="s">
        <v>566</v>
      </c>
      <c r="C15" s="13" t="s">
        <v>114</v>
      </c>
      <c r="D15" s="13" t="s">
        <v>312</v>
      </c>
      <c r="E15" s="148"/>
      <c r="F15" s="5"/>
    </row>
    <row r="16" spans="1:6" x14ac:dyDescent="0.25">
      <c r="A16" s="4">
        <v>12</v>
      </c>
      <c r="B16" s="11" t="s">
        <v>565</v>
      </c>
      <c r="C16" s="13" t="s">
        <v>114</v>
      </c>
      <c r="D16" s="13" t="s">
        <v>312</v>
      </c>
      <c r="E16" s="148"/>
      <c r="F16" s="5"/>
    </row>
    <row r="17" spans="1:6" x14ac:dyDescent="0.25">
      <c r="A17" s="4">
        <v>13</v>
      </c>
      <c r="B17" s="11" t="s">
        <v>668</v>
      </c>
      <c r="C17" s="79" t="s">
        <v>127</v>
      </c>
      <c r="D17" s="79" t="s">
        <v>127</v>
      </c>
      <c r="E17" s="148"/>
      <c r="F17" s="5"/>
    </row>
    <row r="18" spans="1:6" x14ac:dyDescent="0.25">
      <c r="A18" s="4">
        <v>14</v>
      </c>
      <c r="B18" s="11" t="s">
        <v>669</v>
      </c>
      <c r="C18" s="79" t="s">
        <v>127</v>
      </c>
      <c r="D18" s="79" t="s">
        <v>127</v>
      </c>
      <c r="E18" s="148"/>
      <c r="F18" s="5"/>
    </row>
    <row r="19" spans="1:6" x14ac:dyDescent="0.25">
      <c r="A19" s="4">
        <v>15</v>
      </c>
      <c r="B19" s="11" t="s">
        <v>670</v>
      </c>
      <c r="C19" s="79" t="s">
        <v>127</v>
      </c>
      <c r="D19" s="79" t="s">
        <v>127</v>
      </c>
      <c r="E19" s="148"/>
      <c r="F19" s="5"/>
    </row>
    <row r="20" spans="1:6" x14ac:dyDescent="0.25">
      <c r="A20" s="4">
        <v>16</v>
      </c>
      <c r="B20" s="11" t="s">
        <v>671</v>
      </c>
      <c r="C20" s="79" t="s">
        <v>127</v>
      </c>
      <c r="D20" s="79" t="s">
        <v>127</v>
      </c>
      <c r="E20" s="148"/>
      <c r="F20" s="5"/>
    </row>
    <row r="21" spans="1:6" x14ac:dyDescent="0.25">
      <c r="A21" s="4">
        <v>17</v>
      </c>
      <c r="B21" s="11" t="s">
        <v>564</v>
      </c>
      <c r="C21" s="13" t="s">
        <v>310</v>
      </c>
      <c r="D21" s="13" t="s">
        <v>313</v>
      </c>
      <c r="E21" s="148"/>
      <c r="F21" s="5"/>
    </row>
    <row r="22" spans="1:6" x14ac:dyDescent="0.25">
      <c r="A22" s="4">
        <v>18</v>
      </c>
      <c r="B22" s="11" t="s">
        <v>563</v>
      </c>
      <c r="C22" s="13">
        <v>0</v>
      </c>
      <c r="D22" s="13" t="s">
        <v>672</v>
      </c>
      <c r="E22" s="148"/>
      <c r="F22" s="5"/>
    </row>
    <row r="23" spans="1:6" x14ac:dyDescent="0.25">
      <c r="A23" s="4">
        <v>19</v>
      </c>
      <c r="B23" s="11" t="s">
        <v>562</v>
      </c>
      <c r="C23" s="13" t="s">
        <v>117</v>
      </c>
      <c r="D23" s="13" t="s">
        <v>314</v>
      </c>
      <c r="E23" s="148"/>
      <c r="F23" s="5"/>
    </row>
    <row r="24" spans="1:6" x14ac:dyDescent="0.25">
      <c r="A24" s="4">
        <v>20</v>
      </c>
      <c r="B24" s="11" t="s">
        <v>561</v>
      </c>
      <c r="C24" s="13" t="s">
        <v>117</v>
      </c>
      <c r="D24" s="13" t="s">
        <v>314</v>
      </c>
      <c r="E24" s="148"/>
      <c r="F24" s="5"/>
    </row>
    <row r="25" spans="1:6" x14ac:dyDescent="0.25">
      <c r="A25" s="12">
        <v>21</v>
      </c>
      <c r="B25" s="11" t="s">
        <v>560</v>
      </c>
      <c r="C25" s="13">
        <v>0</v>
      </c>
      <c r="D25" s="13" t="s">
        <v>673</v>
      </c>
      <c r="E25" s="145"/>
      <c r="F25" s="5"/>
    </row>
    <row r="26" spans="1:6" x14ac:dyDescent="0.25">
      <c r="A26" s="12">
        <v>22</v>
      </c>
      <c r="B26" s="11" t="s">
        <v>559</v>
      </c>
      <c r="C26" s="4">
        <v>1</v>
      </c>
      <c r="D26" s="13" t="s">
        <v>315</v>
      </c>
      <c r="E26" s="147" t="s">
        <v>118</v>
      </c>
      <c r="F26" s="5"/>
    </row>
    <row r="27" spans="1:6" x14ac:dyDescent="0.25">
      <c r="A27" s="4">
        <v>23</v>
      </c>
      <c r="B27" s="11" t="s">
        <v>558</v>
      </c>
      <c r="C27" s="4">
        <v>2</v>
      </c>
      <c r="D27" s="13" t="s">
        <v>315</v>
      </c>
      <c r="E27" s="148"/>
      <c r="F27" s="5"/>
    </row>
    <row r="28" spans="1:6" x14ac:dyDescent="0.25">
      <c r="A28" s="4">
        <v>24</v>
      </c>
      <c r="B28" s="11" t="s">
        <v>557</v>
      </c>
      <c r="C28" s="4">
        <v>0</v>
      </c>
      <c r="D28" s="13" t="s">
        <v>315</v>
      </c>
      <c r="E28" s="148"/>
      <c r="F28" s="5"/>
    </row>
    <row r="29" spans="1:6" x14ac:dyDescent="0.25">
      <c r="A29" s="4">
        <v>25</v>
      </c>
      <c r="B29" s="11" t="s">
        <v>556</v>
      </c>
      <c r="C29" s="4">
        <v>3</v>
      </c>
      <c r="D29" s="13" t="s">
        <v>315</v>
      </c>
      <c r="E29" s="148"/>
      <c r="F29" s="5"/>
    </row>
    <row r="30" spans="1:6" x14ac:dyDescent="0.25">
      <c r="A30" s="4">
        <v>26</v>
      </c>
      <c r="B30" s="11" t="s">
        <v>555</v>
      </c>
      <c r="C30" s="4">
        <v>3</v>
      </c>
      <c r="D30" s="13" t="s">
        <v>316</v>
      </c>
      <c r="E30" s="147" t="s">
        <v>119</v>
      </c>
      <c r="F30" s="5"/>
    </row>
    <row r="31" spans="1:6" x14ac:dyDescent="0.25">
      <c r="A31" s="4">
        <v>27</v>
      </c>
      <c r="B31" s="11" t="s">
        <v>554</v>
      </c>
      <c r="C31" s="4">
        <v>4</v>
      </c>
      <c r="D31" s="13" t="s">
        <v>316</v>
      </c>
      <c r="E31" s="148"/>
      <c r="F31" s="5"/>
    </row>
    <row r="32" spans="1:6" x14ac:dyDescent="0.25">
      <c r="A32" s="4">
        <v>28</v>
      </c>
      <c r="B32" s="11" t="s">
        <v>553</v>
      </c>
      <c r="C32" s="4">
        <v>1</v>
      </c>
      <c r="D32" s="13" t="s">
        <v>316</v>
      </c>
      <c r="E32" s="148"/>
      <c r="F32" s="5"/>
    </row>
    <row r="33" spans="1:6" x14ac:dyDescent="0.25">
      <c r="A33" s="4">
        <v>29</v>
      </c>
      <c r="B33" s="11" t="s">
        <v>552</v>
      </c>
      <c r="C33" s="4">
        <v>2</v>
      </c>
      <c r="D33" s="13" t="s">
        <v>316</v>
      </c>
      <c r="E33" s="148"/>
      <c r="F33" s="5"/>
    </row>
    <row r="34" spans="1:6" x14ac:dyDescent="0.25">
      <c r="A34" s="4">
        <v>30</v>
      </c>
      <c r="B34" s="11" t="s">
        <v>551</v>
      </c>
      <c r="C34" s="4">
        <v>0</v>
      </c>
      <c r="D34" s="13" t="s">
        <v>316</v>
      </c>
      <c r="E34" s="145"/>
      <c r="F34" s="5"/>
    </row>
    <row r="35" spans="1:6" x14ac:dyDescent="0.25">
      <c r="A35" s="4">
        <v>31</v>
      </c>
      <c r="B35" s="11" t="s">
        <v>550</v>
      </c>
      <c r="C35" s="4">
        <v>1</v>
      </c>
      <c r="D35" s="13" t="s">
        <v>317</v>
      </c>
      <c r="E35" s="144" t="s">
        <v>197</v>
      </c>
      <c r="F35" s="5"/>
    </row>
    <row r="36" spans="1:6" x14ac:dyDescent="0.25">
      <c r="A36" s="12">
        <v>32</v>
      </c>
      <c r="B36" s="11" t="s">
        <v>549</v>
      </c>
      <c r="C36" s="4">
        <v>0</v>
      </c>
      <c r="D36" s="13" t="s">
        <v>317</v>
      </c>
      <c r="E36" s="145"/>
      <c r="F36" s="5"/>
    </row>
    <row r="37" spans="1:6" x14ac:dyDescent="0.25">
      <c r="A37" s="12">
        <v>33</v>
      </c>
      <c r="B37" s="11" t="s">
        <v>548</v>
      </c>
      <c r="C37" s="4">
        <v>1</v>
      </c>
      <c r="D37" s="13" t="s">
        <v>318</v>
      </c>
      <c r="E37" s="144" t="s">
        <v>319</v>
      </c>
      <c r="F37" s="5"/>
    </row>
    <row r="38" spans="1:6" x14ac:dyDescent="0.25">
      <c r="A38" s="4">
        <v>34</v>
      </c>
      <c r="B38" s="11" t="s">
        <v>547</v>
      </c>
      <c r="C38" s="4">
        <v>0</v>
      </c>
      <c r="D38" s="13" t="s">
        <v>318</v>
      </c>
      <c r="E38" s="145"/>
      <c r="F38" s="5"/>
    </row>
    <row r="39" spans="1:6" ht="28.8" x14ac:dyDescent="0.25">
      <c r="A39" s="4">
        <v>35</v>
      </c>
      <c r="B39" s="11" t="s">
        <v>546</v>
      </c>
      <c r="C39" s="96" t="s">
        <v>674</v>
      </c>
      <c r="D39" s="97" t="s">
        <v>676</v>
      </c>
      <c r="E39" s="144" t="s">
        <v>118</v>
      </c>
      <c r="F39" s="5"/>
    </row>
    <row r="40" spans="1:6" ht="28.8" x14ac:dyDescent="0.25">
      <c r="A40" s="4">
        <v>36</v>
      </c>
      <c r="B40" s="11" t="s">
        <v>545</v>
      </c>
      <c r="C40" s="96" t="s">
        <v>675</v>
      </c>
      <c r="D40" s="97" t="s">
        <v>320</v>
      </c>
      <c r="E40" s="148"/>
      <c r="F40" s="5"/>
    </row>
    <row r="41" spans="1:6" ht="28.8" x14ac:dyDescent="0.25">
      <c r="A41" s="4">
        <v>37</v>
      </c>
      <c r="B41" s="11" t="s">
        <v>544</v>
      </c>
      <c r="C41" s="96" t="s">
        <v>677</v>
      </c>
      <c r="D41" s="97" t="s">
        <v>676</v>
      </c>
      <c r="E41" s="148"/>
      <c r="F41" s="5"/>
    </row>
    <row r="42" spans="1:6" ht="28.8" x14ac:dyDescent="0.25">
      <c r="A42" s="4">
        <v>38</v>
      </c>
      <c r="B42" s="11" t="s">
        <v>543</v>
      </c>
      <c r="C42" s="96" t="s">
        <v>678</v>
      </c>
      <c r="D42" s="97" t="s">
        <v>320</v>
      </c>
      <c r="E42" s="145"/>
      <c r="F42" s="5"/>
    </row>
    <row r="43" spans="1:6" x14ac:dyDescent="0.25">
      <c r="A43" s="4">
        <v>39</v>
      </c>
      <c r="B43" s="11" t="s">
        <v>542</v>
      </c>
      <c r="C43" s="13" t="s">
        <v>156</v>
      </c>
      <c r="D43" s="13" t="s">
        <v>679</v>
      </c>
      <c r="E43" s="151" t="s">
        <v>694</v>
      </c>
      <c r="F43" s="5"/>
    </row>
    <row r="44" spans="1:6" x14ac:dyDescent="0.25">
      <c r="A44" s="4">
        <v>40</v>
      </c>
      <c r="B44" s="11" t="s">
        <v>541</v>
      </c>
      <c r="C44" s="96" t="s">
        <v>155</v>
      </c>
      <c r="D44" s="97" t="s">
        <v>680</v>
      </c>
      <c r="E44" s="145"/>
      <c r="F44" s="5"/>
    </row>
    <row r="45" spans="1:6" x14ac:dyDescent="0.25">
      <c r="A45" s="4">
        <v>41</v>
      </c>
      <c r="B45" s="11" t="s">
        <v>681</v>
      </c>
      <c r="C45" s="79" t="s">
        <v>127</v>
      </c>
      <c r="D45" s="79" t="s">
        <v>127</v>
      </c>
      <c r="E45" s="144" t="s">
        <v>116</v>
      </c>
      <c r="F45" s="5"/>
    </row>
    <row r="46" spans="1:6" x14ac:dyDescent="0.25">
      <c r="A46" s="4">
        <v>42</v>
      </c>
      <c r="B46" s="11" t="s">
        <v>682</v>
      </c>
      <c r="C46" s="79" t="s">
        <v>127</v>
      </c>
      <c r="D46" s="79" t="s">
        <v>127</v>
      </c>
      <c r="E46" s="148"/>
      <c r="F46" s="5"/>
    </row>
    <row r="47" spans="1:6" x14ac:dyDescent="0.25">
      <c r="A47" s="12">
        <v>43</v>
      </c>
      <c r="B47" s="11" t="s">
        <v>540</v>
      </c>
      <c r="C47" s="13" t="s">
        <v>683</v>
      </c>
      <c r="D47" s="13" t="s">
        <v>321</v>
      </c>
      <c r="E47" s="148"/>
      <c r="F47" s="5"/>
    </row>
    <row r="48" spans="1:6" x14ac:dyDescent="0.25">
      <c r="A48" s="12">
        <v>44</v>
      </c>
      <c r="B48" s="11" t="s">
        <v>539</v>
      </c>
      <c r="C48" s="13" t="s">
        <v>684</v>
      </c>
      <c r="D48" s="13" t="s">
        <v>322</v>
      </c>
      <c r="E48" s="148"/>
      <c r="F48" s="14"/>
    </row>
    <row r="49" spans="1:6" x14ac:dyDescent="0.25">
      <c r="A49" s="4">
        <v>45</v>
      </c>
      <c r="B49" s="11" t="s">
        <v>538</v>
      </c>
      <c r="C49" s="13" t="s">
        <v>685</v>
      </c>
      <c r="D49" s="13" t="s">
        <v>323</v>
      </c>
      <c r="E49" s="148"/>
      <c r="F49" s="16"/>
    </row>
    <row r="50" spans="1:6" x14ac:dyDescent="0.25">
      <c r="A50" s="4">
        <v>46</v>
      </c>
      <c r="B50" s="11" t="s">
        <v>537</v>
      </c>
      <c r="C50" s="13" t="s">
        <v>684</v>
      </c>
      <c r="D50" s="13" t="s">
        <v>322</v>
      </c>
      <c r="E50" s="148"/>
      <c r="F50" s="16"/>
    </row>
    <row r="51" spans="1:6" x14ac:dyDescent="0.25">
      <c r="A51" s="4">
        <v>47</v>
      </c>
      <c r="B51" s="11" t="s">
        <v>536</v>
      </c>
      <c r="C51" s="13" t="s">
        <v>685</v>
      </c>
      <c r="D51" s="13" t="s">
        <v>323</v>
      </c>
      <c r="E51" s="145"/>
      <c r="F51" s="8"/>
    </row>
    <row r="52" spans="1:6" x14ac:dyDescent="0.25">
      <c r="A52" s="4">
        <v>48</v>
      </c>
      <c r="B52" s="11" t="s">
        <v>535</v>
      </c>
      <c r="C52" s="13" t="s">
        <v>324</v>
      </c>
      <c r="D52" s="13" t="s">
        <v>325</v>
      </c>
      <c r="E52" s="144" t="s">
        <v>120</v>
      </c>
      <c r="F52" s="17"/>
    </row>
    <row r="53" spans="1:6" x14ac:dyDescent="0.25">
      <c r="A53" s="4">
        <v>49</v>
      </c>
      <c r="B53" s="11" t="s">
        <v>534</v>
      </c>
      <c r="C53" s="13" t="s">
        <v>324</v>
      </c>
      <c r="D53" s="13" t="s">
        <v>325</v>
      </c>
      <c r="E53" s="145"/>
      <c r="F53" s="17"/>
    </row>
    <row r="54" spans="1:6" x14ac:dyDescent="0.25">
      <c r="A54" s="4">
        <v>50</v>
      </c>
      <c r="B54" s="11" t="s">
        <v>533</v>
      </c>
      <c r="C54" s="4">
        <v>0</v>
      </c>
      <c r="D54" s="18" t="s">
        <v>127</v>
      </c>
      <c r="E54" s="15" t="s">
        <v>116</v>
      </c>
      <c r="F54" s="17"/>
    </row>
    <row r="55" spans="1:6" x14ac:dyDescent="0.25">
      <c r="A55" s="4">
        <v>51</v>
      </c>
      <c r="B55" s="11" t="s">
        <v>532</v>
      </c>
      <c r="C55" s="111" t="s">
        <v>707</v>
      </c>
      <c r="D55" s="18" t="s">
        <v>708</v>
      </c>
      <c r="E55" s="15" t="s">
        <v>712</v>
      </c>
      <c r="F55" s="2"/>
    </row>
    <row r="56" spans="1:6" x14ac:dyDescent="0.25">
      <c r="A56" s="4">
        <v>52</v>
      </c>
      <c r="B56" s="11" t="s">
        <v>531</v>
      </c>
      <c r="C56" s="4">
        <v>1</v>
      </c>
      <c r="D56" s="18" t="s">
        <v>127</v>
      </c>
      <c r="E56" s="144" t="s">
        <v>116</v>
      </c>
      <c r="F56" s="2"/>
    </row>
    <row r="57" spans="1:6" x14ac:dyDescent="0.25">
      <c r="A57" s="4">
        <v>53</v>
      </c>
      <c r="B57" s="11" t="s">
        <v>530</v>
      </c>
      <c r="C57" s="4">
        <v>0</v>
      </c>
      <c r="D57" s="18" t="s">
        <v>127</v>
      </c>
      <c r="E57" s="148"/>
      <c r="F57" s="2"/>
    </row>
    <row r="58" spans="1:6" x14ac:dyDescent="0.25">
      <c r="A58" s="12">
        <v>54</v>
      </c>
      <c r="B58" s="11" t="s">
        <v>578</v>
      </c>
      <c r="C58" s="4">
        <v>2</v>
      </c>
      <c r="D58" s="18" t="s">
        <v>127</v>
      </c>
      <c r="E58" s="148"/>
      <c r="F58" s="2"/>
    </row>
    <row r="59" spans="1:6" x14ac:dyDescent="0.25">
      <c r="A59" s="12">
        <v>55</v>
      </c>
      <c r="B59" s="11" t="s">
        <v>575</v>
      </c>
      <c r="C59" s="13" t="s">
        <v>512</v>
      </c>
      <c r="D59" s="13" t="s">
        <v>686</v>
      </c>
      <c r="E59" s="148"/>
      <c r="F59" s="2"/>
    </row>
    <row r="60" spans="1:6" ht="43.2" x14ac:dyDescent="0.25">
      <c r="A60" s="106">
        <v>56</v>
      </c>
      <c r="B60" s="107" t="s">
        <v>659</v>
      </c>
      <c r="C60" s="108" t="s">
        <v>705</v>
      </c>
      <c r="D60" s="105" t="s">
        <v>706</v>
      </c>
      <c r="E60" s="148"/>
      <c r="F60" s="2"/>
    </row>
    <row r="61" spans="1:6" x14ac:dyDescent="0.25">
      <c r="A61" s="12">
        <v>57</v>
      </c>
      <c r="B61" s="107" t="s">
        <v>660</v>
      </c>
      <c r="C61" s="12">
        <v>0</v>
      </c>
      <c r="D61" s="109" t="s">
        <v>127</v>
      </c>
      <c r="E61" s="145"/>
      <c r="F61" s="2"/>
    </row>
    <row r="62" spans="1:6" x14ac:dyDescent="0.25">
      <c r="A62" s="12">
        <v>58</v>
      </c>
      <c r="B62" s="107" t="s">
        <v>661</v>
      </c>
      <c r="C62" s="110">
        <v>0</v>
      </c>
      <c r="D62" s="109" t="s">
        <v>127</v>
      </c>
      <c r="E62" s="15" t="s">
        <v>116</v>
      </c>
      <c r="F62" s="2"/>
    </row>
    <row r="63" spans="1:6" x14ac:dyDescent="0.25">
      <c r="A63" s="4">
        <v>59</v>
      </c>
      <c r="B63" s="11" t="s">
        <v>576</v>
      </c>
      <c r="C63" s="13" t="s">
        <v>513</v>
      </c>
      <c r="D63" s="79" t="s">
        <v>127</v>
      </c>
      <c r="E63" s="15" t="s">
        <v>116</v>
      </c>
      <c r="F63" s="2"/>
    </row>
    <row r="64" spans="1:6" x14ac:dyDescent="0.25">
      <c r="A64" s="12">
        <v>60</v>
      </c>
      <c r="B64" s="105" t="s">
        <v>662</v>
      </c>
      <c r="C64" s="104">
        <v>0</v>
      </c>
      <c r="D64" s="104" t="s">
        <v>528</v>
      </c>
      <c r="E64" s="15" t="s">
        <v>116</v>
      </c>
      <c r="F64" s="2"/>
    </row>
    <row r="65" spans="1:6" x14ac:dyDescent="0.25">
      <c r="A65" s="4">
        <v>61</v>
      </c>
      <c r="B65" s="17" t="s">
        <v>577</v>
      </c>
      <c r="C65" s="13" t="s">
        <v>513</v>
      </c>
      <c r="D65" s="79" t="s">
        <v>127</v>
      </c>
      <c r="E65" s="15" t="s">
        <v>116</v>
      </c>
      <c r="F65" s="2"/>
    </row>
    <row r="66" spans="1:6" x14ac:dyDescent="0.25">
      <c r="A66" s="4">
        <v>62</v>
      </c>
      <c r="B66" s="17" t="s">
        <v>663</v>
      </c>
      <c r="C66" s="13" t="s">
        <v>513</v>
      </c>
      <c r="D66" s="79" t="s">
        <v>127</v>
      </c>
      <c r="E66" s="15" t="s">
        <v>116</v>
      </c>
      <c r="F66" s="2"/>
    </row>
    <row r="67" spans="1:6" x14ac:dyDescent="0.25">
      <c r="A67" s="4">
        <v>63</v>
      </c>
      <c r="B67" s="17" t="s">
        <v>468</v>
      </c>
      <c r="C67" s="13" t="s">
        <v>117</v>
      </c>
      <c r="D67" s="13" t="s">
        <v>314</v>
      </c>
      <c r="E67" s="144" t="s">
        <v>475</v>
      </c>
      <c r="F67" s="2"/>
    </row>
    <row r="68" spans="1:6" x14ac:dyDescent="0.25">
      <c r="A68" s="4">
        <v>64</v>
      </c>
      <c r="B68" s="17" t="s">
        <v>469</v>
      </c>
      <c r="C68" s="13" t="s">
        <v>117</v>
      </c>
      <c r="D68" s="13" t="s">
        <v>314</v>
      </c>
      <c r="E68" s="145"/>
      <c r="F68" s="2"/>
    </row>
    <row r="69" spans="1:6" x14ac:dyDescent="0.25">
      <c r="A69" s="4">
        <v>65</v>
      </c>
      <c r="B69" s="17" t="s">
        <v>470</v>
      </c>
      <c r="C69" s="13">
        <v>1</v>
      </c>
      <c r="D69" s="13" t="s">
        <v>313</v>
      </c>
      <c r="E69" s="15" t="s">
        <v>116</v>
      </c>
      <c r="F69" s="2"/>
    </row>
    <row r="70" spans="1:6" x14ac:dyDescent="0.25">
      <c r="A70" s="4">
        <v>66</v>
      </c>
      <c r="B70" s="17" t="s">
        <v>529</v>
      </c>
      <c r="C70" s="97">
        <v>0</v>
      </c>
      <c r="D70" s="96" t="s">
        <v>314</v>
      </c>
      <c r="E70" s="15" t="s">
        <v>475</v>
      </c>
      <c r="F70" s="2"/>
    </row>
    <row r="71" spans="1:6" x14ac:dyDescent="0.25">
      <c r="A71" s="4">
        <v>67</v>
      </c>
      <c r="B71" s="17" t="s">
        <v>579</v>
      </c>
      <c r="C71" s="79" t="s">
        <v>687</v>
      </c>
      <c r="D71" s="79" t="s">
        <v>687</v>
      </c>
      <c r="E71" s="15" t="s">
        <v>116</v>
      </c>
      <c r="F71" s="2"/>
    </row>
    <row r="72" spans="1:6" x14ac:dyDescent="0.25">
      <c r="A72" s="4">
        <v>68</v>
      </c>
      <c r="B72" s="17" t="s">
        <v>580</v>
      </c>
      <c r="C72" s="13" t="s">
        <v>688</v>
      </c>
      <c r="D72" s="13" t="s">
        <v>689</v>
      </c>
      <c r="E72" s="15" t="s">
        <v>116</v>
      </c>
      <c r="F72" s="2"/>
    </row>
    <row r="73" spans="1:6" x14ac:dyDescent="0.25">
      <c r="A73" s="4">
        <v>69</v>
      </c>
      <c r="B73" s="17" t="s">
        <v>664</v>
      </c>
      <c r="C73" s="13" t="s">
        <v>690</v>
      </c>
      <c r="D73" s="13" t="s">
        <v>691</v>
      </c>
      <c r="E73" s="15" t="s">
        <v>116</v>
      </c>
      <c r="F73" s="2"/>
    </row>
    <row r="74" spans="1:6" x14ac:dyDescent="0.25">
      <c r="A74" s="12">
        <v>70</v>
      </c>
      <c r="B74" s="103" t="s">
        <v>695</v>
      </c>
      <c r="C74" s="104" t="s">
        <v>700</v>
      </c>
      <c r="D74" s="104" t="s">
        <v>702</v>
      </c>
      <c r="E74" s="102" t="s">
        <v>704</v>
      </c>
      <c r="F74" s="2"/>
    </row>
    <row r="75" spans="1:6" x14ac:dyDescent="0.25">
      <c r="A75" s="12">
        <v>71</v>
      </c>
      <c r="B75" s="103" t="s">
        <v>696</v>
      </c>
      <c r="C75" s="104" t="s">
        <v>701</v>
      </c>
      <c r="D75" s="104" t="s">
        <v>703</v>
      </c>
      <c r="E75" s="102">
        <v>1</v>
      </c>
      <c r="F75" s="2"/>
    </row>
    <row r="76" spans="1:6" x14ac:dyDescent="0.25">
      <c r="A76" s="12">
        <v>72</v>
      </c>
      <c r="B76" s="103" t="s">
        <v>697</v>
      </c>
      <c r="C76" s="104" t="s">
        <v>701</v>
      </c>
      <c r="D76" s="104" t="s">
        <v>703</v>
      </c>
      <c r="E76" s="102">
        <v>1</v>
      </c>
      <c r="F76" s="2"/>
    </row>
    <row r="77" spans="1:6" x14ac:dyDescent="0.25">
      <c r="A77" s="12">
        <v>73</v>
      </c>
      <c r="B77" s="103" t="s">
        <v>698</v>
      </c>
      <c r="C77" s="104" t="s">
        <v>701</v>
      </c>
      <c r="D77" s="104" t="s">
        <v>703</v>
      </c>
      <c r="E77" s="102">
        <v>1</v>
      </c>
      <c r="F77" s="2"/>
    </row>
    <row r="78" spans="1:6" x14ac:dyDescent="0.25">
      <c r="A78" s="12">
        <v>74</v>
      </c>
      <c r="B78" s="103" t="s">
        <v>699</v>
      </c>
      <c r="C78" s="104" t="s">
        <v>701</v>
      </c>
      <c r="D78" s="104" t="s">
        <v>703</v>
      </c>
      <c r="E78" s="102">
        <v>1</v>
      </c>
      <c r="F78" s="2"/>
    </row>
    <row r="79" spans="1:6" x14ac:dyDescent="0.25">
      <c r="A79" s="13" t="s">
        <v>476</v>
      </c>
      <c r="B79" s="17" t="s">
        <v>476</v>
      </c>
      <c r="C79" s="13" t="s">
        <v>476</v>
      </c>
      <c r="D79" s="13" t="s">
        <v>476</v>
      </c>
      <c r="E79" s="15" t="s">
        <v>476</v>
      </c>
      <c r="F79" s="2"/>
    </row>
    <row r="80" spans="1:6" x14ac:dyDescent="0.25">
      <c r="A80" s="4">
        <v>128</v>
      </c>
      <c r="B80" s="17" t="s">
        <v>471</v>
      </c>
      <c r="C80" s="13">
        <v>0</v>
      </c>
      <c r="D80" s="13" t="s">
        <v>477</v>
      </c>
      <c r="E80" s="15" t="s">
        <v>116</v>
      </c>
      <c r="F80" s="2"/>
    </row>
    <row r="81" spans="1:6" x14ac:dyDescent="0.25">
      <c r="A81" s="4">
        <v>129</v>
      </c>
      <c r="B81" s="17" t="s">
        <v>472</v>
      </c>
      <c r="C81" s="13">
        <v>0</v>
      </c>
      <c r="D81" s="13" t="s">
        <v>477</v>
      </c>
      <c r="E81" s="15" t="s">
        <v>116</v>
      </c>
      <c r="F81" s="2"/>
    </row>
    <row r="82" spans="1:6" x14ac:dyDescent="0.25">
      <c r="A82" s="4">
        <v>130</v>
      </c>
      <c r="B82" s="17" t="s">
        <v>473</v>
      </c>
      <c r="C82" s="13">
        <v>0</v>
      </c>
      <c r="D82" s="13" t="s">
        <v>477</v>
      </c>
      <c r="E82" s="15" t="s">
        <v>116</v>
      </c>
      <c r="F82" s="2"/>
    </row>
    <row r="83" spans="1:6" x14ac:dyDescent="0.25">
      <c r="A83" s="4">
        <v>131</v>
      </c>
      <c r="B83" s="17" t="s">
        <v>474</v>
      </c>
      <c r="C83" s="13">
        <v>0</v>
      </c>
      <c r="D83" s="13" t="s">
        <v>477</v>
      </c>
      <c r="E83" s="15" t="s">
        <v>116</v>
      </c>
      <c r="F83" s="2"/>
    </row>
    <row r="85" spans="1:6" x14ac:dyDescent="0.25">
      <c r="B85" s="70"/>
    </row>
  </sheetData>
  <sheetProtection algorithmName="SHA-512" hashValue="/4+IZz7W/j31y0ZQsOE6oNpx+F0X5+N0/zA/k0kY6Zg9kfKRPEz4aDjoHYGbqkGM2Dko2jQtkTGVFw6ra8qFtA==" saltValue="5HVWMsJuphsET50qijmQ5w==" spinCount="100000" sheet="1" objects="1" scenarios="1"/>
  <mergeCells count="13">
    <mergeCell ref="E67:E68"/>
    <mergeCell ref="A1:F3"/>
    <mergeCell ref="E5:E12"/>
    <mergeCell ref="E13:E25"/>
    <mergeCell ref="E26:E29"/>
    <mergeCell ref="E30:E34"/>
    <mergeCell ref="E52:E53"/>
    <mergeCell ref="E45:E51"/>
    <mergeCell ref="E56:E61"/>
    <mergeCell ref="E35:E36"/>
    <mergeCell ref="E37:E38"/>
    <mergeCell ref="E39:E42"/>
    <mergeCell ref="E43:E44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I19"/>
    </sheetView>
  </sheetViews>
  <sheetFormatPr defaultColWidth="9" defaultRowHeight="14.4" x14ac:dyDescent="0.25"/>
  <sheetData>
    <row r="1" spans="1:9" ht="14.55" customHeight="1" x14ac:dyDescent="0.25">
      <c r="A1" s="152" t="s">
        <v>615</v>
      </c>
      <c r="B1" s="152"/>
      <c r="C1" s="152"/>
      <c r="D1" s="152"/>
      <c r="E1" s="152"/>
      <c r="F1" s="152"/>
      <c r="G1" s="152"/>
      <c r="H1" s="152"/>
      <c r="I1" s="152"/>
    </row>
    <row r="2" spans="1:9" x14ac:dyDescent="0.25">
      <c r="A2" s="152"/>
      <c r="B2" s="152"/>
      <c r="C2" s="152"/>
      <c r="D2" s="152"/>
      <c r="E2" s="152"/>
      <c r="F2" s="152"/>
      <c r="G2" s="152"/>
      <c r="H2" s="152"/>
      <c r="I2" s="152"/>
    </row>
    <row r="3" spans="1:9" x14ac:dyDescent="0.25">
      <c r="A3" s="152"/>
      <c r="B3" s="152"/>
      <c r="C3" s="152"/>
      <c r="D3" s="152"/>
      <c r="E3" s="152"/>
      <c r="F3" s="152"/>
      <c r="G3" s="152"/>
      <c r="H3" s="152"/>
      <c r="I3" s="152"/>
    </row>
    <row r="4" spans="1:9" x14ac:dyDescent="0.25">
      <c r="A4" s="152"/>
      <c r="B4" s="152"/>
      <c r="C4" s="152"/>
      <c r="D4" s="152"/>
      <c r="E4" s="152"/>
      <c r="F4" s="152"/>
      <c r="G4" s="152"/>
      <c r="H4" s="152"/>
      <c r="I4" s="152"/>
    </row>
    <row r="5" spans="1:9" x14ac:dyDescent="0.25">
      <c r="A5" s="152"/>
      <c r="B5" s="152"/>
      <c r="C5" s="152"/>
      <c r="D5" s="152"/>
      <c r="E5" s="152"/>
      <c r="F5" s="152"/>
      <c r="G5" s="152"/>
      <c r="H5" s="152"/>
      <c r="I5" s="152"/>
    </row>
    <row r="6" spans="1:9" x14ac:dyDescent="0.25">
      <c r="A6" s="152"/>
      <c r="B6" s="152"/>
      <c r="C6" s="152"/>
      <c r="D6" s="152"/>
      <c r="E6" s="152"/>
      <c r="F6" s="152"/>
      <c r="G6" s="152"/>
      <c r="H6" s="152"/>
      <c r="I6" s="152"/>
    </row>
    <row r="7" spans="1:9" x14ac:dyDescent="0.25">
      <c r="A7" s="152"/>
      <c r="B7" s="152"/>
      <c r="C7" s="152"/>
      <c r="D7" s="152"/>
      <c r="E7" s="152"/>
      <c r="F7" s="152"/>
      <c r="G7" s="152"/>
      <c r="H7" s="152"/>
      <c r="I7" s="152"/>
    </row>
    <row r="8" spans="1:9" x14ac:dyDescent="0.25">
      <c r="A8" s="152"/>
      <c r="B8" s="152"/>
      <c r="C8" s="152"/>
      <c r="D8" s="152"/>
      <c r="E8" s="152"/>
      <c r="F8" s="152"/>
      <c r="G8" s="152"/>
      <c r="H8" s="152"/>
      <c r="I8" s="152"/>
    </row>
    <row r="9" spans="1:9" x14ac:dyDescent="0.25">
      <c r="A9" s="152"/>
      <c r="B9" s="152"/>
      <c r="C9" s="152"/>
      <c r="D9" s="152"/>
      <c r="E9" s="152"/>
      <c r="F9" s="152"/>
      <c r="G9" s="152"/>
      <c r="H9" s="152"/>
      <c r="I9" s="152"/>
    </row>
    <row r="10" spans="1:9" x14ac:dyDescent="0.25">
      <c r="A10" s="152"/>
      <c r="B10" s="152"/>
      <c r="C10" s="152"/>
      <c r="D10" s="152"/>
      <c r="E10" s="152"/>
      <c r="F10" s="152"/>
      <c r="G10" s="152"/>
      <c r="H10" s="152"/>
      <c r="I10" s="152"/>
    </row>
    <row r="11" spans="1:9" x14ac:dyDescent="0.25">
      <c r="A11" s="152"/>
      <c r="B11" s="152"/>
      <c r="C11" s="152"/>
      <c r="D11" s="152"/>
      <c r="E11" s="152"/>
      <c r="F11" s="152"/>
      <c r="G11" s="152"/>
      <c r="H11" s="152"/>
      <c r="I11" s="152"/>
    </row>
    <row r="12" spans="1:9" x14ac:dyDescent="0.25">
      <c r="A12" s="152"/>
      <c r="B12" s="152"/>
      <c r="C12" s="152"/>
      <c r="D12" s="152"/>
      <c r="E12" s="152"/>
      <c r="F12" s="152"/>
      <c r="G12" s="152"/>
      <c r="H12" s="152"/>
      <c r="I12" s="152"/>
    </row>
    <row r="13" spans="1:9" x14ac:dyDescent="0.25">
      <c r="A13" s="152"/>
      <c r="B13" s="152"/>
      <c r="C13" s="152"/>
      <c r="D13" s="152"/>
      <c r="E13" s="152"/>
      <c r="F13" s="152"/>
      <c r="G13" s="152"/>
      <c r="H13" s="152"/>
      <c r="I13" s="152"/>
    </row>
    <row r="14" spans="1:9" x14ac:dyDescent="0.25">
      <c r="A14" s="152"/>
      <c r="B14" s="152"/>
      <c r="C14" s="152"/>
      <c r="D14" s="152"/>
      <c r="E14" s="152"/>
      <c r="F14" s="152"/>
      <c r="G14" s="152"/>
      <c r="H14" s="152"/>
      <c r="I14" s="152"/>
    </row>
    <row r="15" spans="1:9" x14ac:dyDescent="0.25">
      <c r="A15" s="152"/>
      <c r="B15" s="152"/>
      <c r="C15" s="152"/>
      <c r="D15" s="152"/>
      <c r="E15" s="152"/>
      <c r="F15" s="152"/>
      <c r="G15" s="152"/>
      <c r="H15" s="152"/>
      <c r="I15" s="152"/>
    </row>
    <row r="16" spans="1:9" x14ac:dyDescent="0.25">
      <c r="A16" s="152"/>
      <c r="B16" s="152"/>
      <c r="C16" s="152"/>
      <c r="D16" s="152"/>
      <c r="E16" s="152"/>
      <c r="F16" s="152"/>
      <c r="G16" s="152"/>
      <c r="H16" s="152"/>
      <c r="I16" s="152"/>
    </row>
    <row r="17" spans="1:9" x14ac:dyDescent="0.25">
      <c r="A17" s="152"/>
      <c r="B17" s="152"/>
      <c r="C17" s="152"/>
      <c r="D17" s="152"/>
      <c r="E17" s="152"/>
      <c r="F17" s="152"/>
      <c r="G17" s="152"/>
      <c r="H17" s="152"/>
      <c r="I17" s="152"/>
    </row>
    <row r="18" spans="1:9" x14ac:dyDescent="0.25">
      <c r="A18" s="152"/>
      <c r="B18" s="152"/>
      <c r="C18" s="152"/>
      <c r="D18" s="152"/>
      <c r="E18" s="152"/>
      <c r="F18" s="152"/>
      <c r="G18" s="152"/>
      <c r="H18" s="152"/>
      <c r="I18" s="152"/>
    </row>
    <row r="19" spans="1:9" ht="87" customHeight="1" x14ac:dyDescent="0.25">
      <c r="A19" s="152"/>
      <c r="B19" s="152"/>
      <c r="C19" s="152"/>
      <c r="D19" s="152"/>
      <c r="E19" s="152"/>
      <c r="F19" s="152"/>
      <c r="G19" s="152"/>
      <c r="H19" s="152"/>
      <c r="I19" s="152"/>
    </row>
  </sheetData>
  <sheetProtection algorithmName="SHA-512" hashValue="WQ8FDrWg00jXEleV1BVnGvJBQU+UACKa3GExYeK1wMGd8+7R1A+w8f5I/iqL19dW5UCtxjqbRcbXDeGNQfOB8g==" saltValue="En1RHJq4LF/IaZCu/SEJVg==" spinCount="100000" sheet="1" objects="1" scenarios="1"/>
  <mergeCells count="1">
    <mergeCell ref="A1:I19"/>
  </mergeCells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点表</vt:lpstr>
      <vt:lpstr>CMU SOE</vt:lpstr>
      <vt:lpstr>变更记录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hjj-sinxt</dc:creator>
  <cp:lastModifiedBy>User</cp:lastModifiedBy>
  <cp:lastPrinted>2018-07-05T09:15:54Z</cp:lastPrinted>
  <dcterms:created xsi:type="dcterms:W3CDTF">2017-03-18T02:12:00Z</dcterms:created>
  <dcterms:modified xsi:type="dcterms:W3CDTF">2022-07-21T08:45:57Z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2052-10.1.0.6874</vt:lpwstr>
  </property>
</Properties>
</file>